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UART-IP-verification-by-using-UVM-main\"/>
    </mc:Choice>
  </mc:AlternateContent>
  <xr:revisionPtr revIDLastSave="0" documentId="13_ncr:1_{25F77289-52F0-4E35-A414-FFE50F6D493A}" xr6:coauthVersionLast="47" xr6:coauthVersionMax="47" xr10:uidLastSave="{00000000-0000-0000-0000-000000000000}"/>
  <bookViews>
    <workbookView xWindow="-20610" yWindow="1920" windowWidth="20730" windowHeight="11760" xr2:uid="{00000000-000D-0000-FFFF-FFFF00000000}"/>
  </bookViews>
  <sheets>
    <sheet name="V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pRnswihPvmngj3lGlFJZ0RsYnVs1D4PkH+7LpQPy2Y="/>
    </ext>
  </extLst>
</workbook>
</file>

<file path=xl/calcChain.xml><?xml version="1.0" encoding="utf-8"?>
<calcChain xmlns="http://schemas.openxmlformats.org/spreadsheetml/2006/main">
  <c r="B4" i="1" l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46" i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B3" i="1"/>
  <c r="B2" i="1"/>
  <c r="A104" i="1"/>
  <c r="A105" i="1" s="1"/>
  <c r="A98" i="1"/>
  <c r="A99" i="1" l="1"/>
  <c r="A100" i="1" s="1"/>
  <c r="A101" i="1" s="1"/>
  <c r="A102" i="1" s="1"/>
  <c r="B1" i="1" l="1"/>
</calcChain>
</file>

<file path=xl/sharedStrings.xml><?xml version="1.0" encoding="utf-8"?>
<sst xmlns="http://schemas.openxmlformats.org/spreadsheetml/2006/main" count="563" uniqueCount="248">
  <si>
    <t>Total Items</t>
  </si>
  <si>
    <t>Pass Items</t>
  </si>
  <si>
    <t>Fail Items</t>
  </si>
  <si>
    <t>NY Items</t>
  </si>
  <si>
    <t>Section</t>
  </si>
  <si>
    <t>Main Title</t>
  </si>
  <si>
    <t>Description</t>
  </si>
  <si>
    <t>Testname</t>
  </si>
  <si>
    <t>Priority</t>
  </si>
  <si>
    <t>Method</t>
  </si>
  <si>
    <t>Owner</t>
  </si>
  <si>
    <t>Status</t>
  </si>
  <si>
    <t>Milestone</t>
  </si>
  <si>
    <t>Remark</t>
  </si>
  <si>
    <t>Register test</t>
  </si>
  <si>
    <t>Read default value</t>
  </si>
  <si>
    <t>Directed</t>
  </si>
  <si>
    <t>Read and Write value check</t>
  </si>
  <si>
    <t>Reset on the fly check</t>
  </si>
  <si>
    <t>Interrupt test</t>
  </si>
  <si>
    <t xml:space="preserve">Check reserved register </t>
  </si>
  <si>
    <t>Check AHB protocol</t>
  </si>
  <si>
    <r>
      <t xml:space="preserve">1. Wait for reset and clock stable
2. Read value of 8 register
</t>
    </r>
    <r>
      <rPr>
        <b/>
        <sz val="11"/>
        <color theme="1"/>
        <rFont val="Calibri"/>
        <family val="2"/>
      </rPr>
      <t>Pass condition</t>
    </r>
    <r>
      <rPr>
        <sz val="11"/>
        <color theme="1"/>
        <rFont val="Calibri"/>
        <family val="2"/>
      </rPr>
      <t>: Check value matching with default value mention in RTL spec</t>
    </r>
  </si>
  <si>
    <r>
      <t xml:space="preserve">1. Wait for reset and clock stable
2. Write random value of reserved register
3. Read value of reserved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equal is 32’hFFFF_FFFF</t>
    </r>
  </si>
  <si>
    <r>
      <t xml:space="preserve">1. Wait for reset and clock stable
2. Write random value of 8 register
3. Read value of 8 register
</t>
    </r>
    <r>
      <rPr>
        <b/>
        <sz val="11"/>
        <color theme="1"/>
        <rFont val="Calibri"/>
        <family val="2"/>
      </rPr>
      <t>Pass condition</t>
    </r>
    <r>
      <rPr>
        <sz val="11"/>
        <color theme="1"/>
        <rFont val="Calibri"/>
        <family val="2"/>
      </rPr>
      <t xml:space="preserve">: Check value matching </t>
    </r>
  </si>
  <si>
    <r>
      <t xml:space="preserve">1. Wait for reset and clock stable
2. Write random value of 8 register
3. Reset system
4. Read value of 8 register  
</t>
    </r>
    <r>
      <rPr>
        <b/>
        <sz val="11"/>
        <color theme="1"/>
        <rFont val="Calibri"/>
        <family val="2"/>
      </rPr>
      <t>Pass condition</t>
    </r>
    <r>
      <rPr>
        <sz val="11"/>
        <color theme="1"/>
        <rFont val="Calibri"/>
        <family val="2"/>
      </rPr>
      <t>: Check value matching with default value mention in RTL spec</t>
    </r>
  </si>
  <si>
    <t>Check parity_error_status</t>
  </si>
  <si>
    <t>Check en_rx_fifo_empty</t>
  </si>
  <si>
    <t>Check en_rx_fifo_full</t>
  </si>
  <si>
    <t>Check en_tx_fifo_empty</t>
  </si>
  <si>
    <t>Check en_tx_fifo_full</t>
  </si>
  <si>
    <t>HIGH</t>
  </si>
  <si>
    <t>Medium</t>
  </si>
  <si>
    <t>Transmit combine with baud, mode, UART frame</t>
  </si>
  <si>
    <t>Receive combine with baud, mode, UART frame</t>
  </si>
  <si>
    <t>Transmit and Receive combine with baud, mode, UART frame</t>
  </si>
  <si>
    <t>Check write data will be ignore</t>
  </si>
  <si>
    <t>Behavior FIFO</t>
  </si>
  <si>
    <t>Oversampling</t>
  </si>
  <si>
    <t>random baudrate - 5 bit - no parity - 1 stop bit</t>
  </si>
  <si>
    <t>random baudrate - 5 bit - no parity - 2 stop bit</t>
  </si>
  <si>
    <t>random baudrate - 5 bit - even parity - 2 stop bit</t>
  </si>
  <si>
    <t>random baudrate - 5 bit - odd parity - 1 stop bit</t>
  </si>
  <si>
    <t>random baudrate - 5 bit - even parity - 1 stop bit</t>
  </si>
  <si>
    <t>random baudrate - 6 bit - no parity - 1 stop bit</t>
  </si>
  <si>
    <t>random baudrate - 6 bit - even parity - 1 stop bit</t>
  </si>
  <si>
    <t>random baudrate - 6 bit - odd parity - 1 stop bit</t>
  </si>
  <si>
    <t>random baudrate - 5 bit - odd parity - 2 stop bit</t>
  </si>
  <si>
    <t>random baudrate - 6 bit - no parity - 2 stop bit</t>
  </si>
  <si>
    <t>random baudrate - 6 bit - even parity - 2 stop bit</t>
  </si>
  <si>
    <t>random baudrate - 6 bit - odd parity - 2 stop bit</t>
  </si>
  <si>
    <t>random baudrate - 7 bit - no parity - 1 stop bit</t>
  </si>
  <si>
    <t>random baudrate - 7 bit - even parity - 1 stop bit</t>
  </si>
  <si>
    <t>random baudrate - 7 bit - odd parity - 1 stop bit</t>
  </si>
  <si>
    <t>random baudrate - 7 bit - no parity - 2 stop bit</t>
  </si>
  <si>
    <t>random baudrate - 7 bit - even parity - 2 stop bit</t>
  </si>
  <si>
    <t>random baudrate - 7 bit - odd parity - 2 stop bit</t>
  </si>
  <si>
    <t>random baudrate - 8 bit - no parity - 1 stop bit</t>
  </si>
  <si>
    <t>random baudrate - 8 bit - even parity - 1 stop bit</t>
  </si>
  <si>
    <t>random baudrate - 8 bit - odd parity - 1 stop bit</t>
  </si>
  <si>
    <t>random baudrate - 8 bit - no parity - 2 stop bit</t>
  </si>
  <si>
    <t>random baudrate - 8 bit - even parity - 2 stop bit</t>
  </si>
  <si>
    <t>random baudrate - 8 bit - odd parity - 2 stop bit</t>
  </si>
  <si>
    <t>Multiple data: Random baudrate - random bit - random parity - random stop bit</t>
  </si>
  <si>
    <t>LOW</t>
  </si>
  <si>
    <t>Mode 13x - TX only</t>
  </si>
  <si>
    <t>Mode 13x - RX only</t>
  </si>
  <si>
    <t>Mode 16x - TX only</t>
  </si>
  <si>
    <t>Mode 16x - RX only</t>
  </si>
  <si>
    <t>reg_def_test</t>
  </si>
  <si>
    <t>reg_rw_test</t>
  </si>
  <si>
    <t>reg_rs_test</t>
  </si>
  <si>
    <t>reg_reserved_test</t>
  </si>
  <si>
    <t>mode_13_tx_test</t>
  </si>
  <si>
    <t>mode_13_rx_test</t>
  </si>
  <si>
    <t>mode_16_tx_test</t>
  </si>
  <si>
    <t>mode_16_rx_test</t>
  </si>
  <si>
    <t>tx_multiple_random_all_test</t>
  </si>
  <si>
    <t>tx_5_bit_no_parity_1_stop_test</t>
  </si>
  <si>
    <t>tx_5_bit_even_parity_1_stop_test</t>
  </si>
  <si>
    <t>tx_5_bit_odd_parity_1_stop_test</t>
  </si>
  <si>
    <t>tx_5_bit_no_parity_2_stop_test</t>
  </si>
  <si>
    <t>tx_5_bit_even_parity_2_stop_test</t>
  </si>
  <si>
    <t>tx_5_bit_odd_parity_2_stop_test</t>
  </si>
  <si>
    <t>tx_6_bit_no_parity_1_stop_test</t>
  </si>
  <si>
    <t>tx_6_bit_even_parity_1_stop_test</t>
  </si>
  <si>
    <t>tx_6_bit_odd_parity_1_stop_test</t>
  </si>
  <si>
    <t>tx_6_bit_no_parity_2_stop_test</t>
  </si>
  <si>
    <t>tx_6_bit_even_parity_2_stop_test</t>
  </si>
  <si>
    <t>tx_6_bit_odd_parity_2_stop_test</t>
  </si>
  <si>
    <t>tx_7_bit_no_parity_1_stop_test</t>
  </si>
  <si>
    <t>tx_7_bit_even_parity_1_stop_test</t>
  </si>
  <si>
    <t>tx_7_bit_odd_parity_1_stop_test</t>
  </si>
  <si>
    <t>tx_7_bit_no_parity_2_stop_test</t>
  </si>
  <si>
    <t>tx_7_bit_even_parity_2_stop_test</t>
  </si>
  <si>
    <t>tx_7_bit_odd_parity_2_stop_test</t>
  </si>
  <si>
    <t>tx_8_bit_no_parity_1_stop_test</t>
  </si>
  <si>
    <t>tx_8_bit_even_parity_1_stop_test</t>
  </si>
  <si>
    <t>tx_8_bit_odd_parity_1_stop_test</t>
  </si>
  <si>
    <t>tx_8_bit_no_parity_2_stop_test</t>
  </si>
  <si>
    <t>tx_8_bit_even_parity_2_stop_test</t>
  </si>
  <si>
    <t>tx_8_bit_odd_parity_2_stop_test</t>
  </si>
  <si>
    <t>rx_5_bit_no_parity_1_stop_test</t>
  </si>
  <si>
    <t>rx_5_bit_even_parity_1_stop_test</t>
  </si>
  <si>
    <t>rx_5_bit_odd_parity_1_stop_test</t>
  </si>
  <si>
    <t>rx_5_bit_no_parity_2_stop_test</t>
  </si>
  <si>
    <t>rx_5_bit_even_parity_2_stop_test</t>
  </si>
  <si>
    <t>rx_5_bit_odd_parity_2_stop_test</t>
  </si>
  <si>
    <t>rx_6_bit_no_parity_1_stop_test</t>
  </si>
  <si>
    <t>rx_6_bit_odd_parity_1_stop_test</t>
  </si>
  <si>
    <t>rx_6_bit_no_parity_2_stop_test</t>
  </si>
  <si>
    <t>rx_6_bit_even_parity_2_stop_test</t>
  </si>
  <si>
    <t>rx_6_bit_odd_parity_2_stop_test</t>
  </si>
  <si>
    <t>rx_7_bit_no_parity_1_stop_test</t>
  </si>
  <si>
    <t>rx_7_bit_even_parity_1_stop_test</t>
  </si>
  <si>
    <t>rx_7_bit_odd_parity_1_stop_test</t>
  </si>
  <si>
    <t>rx_7_bit_no_parity_2_stop_test</t>
  </si>
  <si>
    <t>rx_7_bit_even_parity_2_stop_test</t>
  </si>
  <si>
    <t>rx_7_bit_odd_parity_2_stop_test</t>
  </si>
  <si>
    <t>rx_8_bit_no_parity_1_stop_test</t>
  </si>
  <si>
    <t>rx_8_bit_even_parity_1_stop_test</t>
  </si>
  <si>
    <t>rx_8_bit_odd_parity_1_stop_test</t>
  </si>
  <si>
    <t>rx_8_bit_no_parity_2_stop_test</t>
  </si>
  <si>
    <t>rx_8_bit_even_parity_2_stop_test</t>
  </si>
  <si>
    <t>rx_8_bit_odd_parity_2_stop_test</t>
  </si>
  <si>
    <t>rx_multiple_random_all_test</t>
  </si>
  <si>
    <t>rx_6_bit_even_parity_1_stop_test</t>
  </si>
  <si>
    <t>full_5_bit_no_parity_1_stop_test</t>
  </si>
  <si>
    <t>full_5_bit_even_parity_1_stop_test</t>
  </si>
  <si>
    <t>full_5_bit_odd_parity_1_stop_test</t>
  </si>
  <si>
    <t>full_5_bit_no_parity_2_stop_test</t>
  </si>
  <si>
    <t>full_5_bit_even_parity_2_stop_test</t>
  </si>
  <si>
    <t>full_5_bit_odd_parity_2_stop_test</t>
  </si>
  <si>
    <t>full_6_bit_no_parity_1_stop_test</t>
  </si>
  <si>
    <t>full_6_bit_even_parity_1_stop_test</t>
  </si>
  <si>
    <t>full_6_bit_odd_parity_1_stop_test</t>
  </si>
  <si>
    <t>full_6_bit_no_parity_2_stop_test</t>
  </si>
  <si>
    <t>full_6_bit_even_parity_2_stop_test</t>
  </si>
  <si>
    <t>full_6_bit_odd_parity_2_stop_test</t>
  </si>
  <si>
    <t>full_7_bit_no_parity_1_stop_test</t>
  </si>
  <si>
    <t>full_7_bit_even_parity_1_stop_test</t>
  </si>
  <si>
    <t>full_7_bit_odd_parity_1_stop_test</t>
  </si>
  <si>
    <t>full_7_bit_no_parity_2_stop_test</t>
  </si>
  <si>
    <t>full_7_bit_even_parity_2_stop_test</t>
  </si>
  <si>
    <t>full_7_bit_odd_parity_2_stop_test</t>
  </si>
  <si>
    <t>full_8_bit_no_parity_1_stop_test</t>
  </si>
  <si>
    <t>full_8_bit_even_parity_1_stop_test</t>
  </si>
  <si>
    <t>full_8_bit_odd_parity_1_stop_test</t>
  </si>
  <si>
    <t>full_8_bit_no_parity_2_stop_test</t>
  </si>
  <si>
    <t>full_8_bit_even_parity_2_stop_test</t>
  </si>
  <si>
    <t>full_8_bit_odd_parity_2_stop_test</t>
  </si>
  <si>
    <t>full_multiple_random_all_test</t>
  </si>
  <si>
    <t>interrupt_parity_error_test</t>
  </si>
  <si>
    <t>interrupt_rx_empty_test</t>
  </si>
  <si>
    <t>interrupt_rx_full_test</t>
  </si>
  <si>
    <t>interrupt_tx_empty_test</t>
  </si>
  <si>
    <t>interrupt_tx_full_test</t>
  </si>
  <si>
    <t>write_data_ignore_test</t>
  </si>
  <si>
    <t>Check read data will be undefine</t>
  </si>
  <si>
    <t>read_data_underfine_test</t>
  </si>
  <si>
    <t>PASSED</t>
  </si>
  <si>
    <r>
      <t xml:space="preserve">1. Mode x13x, random baud rate
2. UART frame: EVEN parity, 2 stop bit, 8 bit data frame
3. Sequence configuration:
+ Writa data 32'h1 in MDR register
+ Write division in DLL, DLH register
+ Write data 32'h3F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</si>
  <si>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Mode x13x, random baud rate
2. UART frame: ODD parity, 1 stop bit, 6 bit data frame
3. Sequence configuration:
+ Writa data 32'h1 in MDR register
+ Write division in DLL, DLH register
+ Write data 32'h29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</si>
  <si>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Mode x16x, random baud rate
2. UART frame: EVEN parity, 2 stop bit, 8 bit data frame
3. Sequence configuration:
+ Writa data 32'h0 in MDR register
+ Write division in DLL, DLH register
+ Write data 32'h3F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</si>
  <si>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Mode x16x, random baud rate
2. UART frame: ODD parity, 1 stop bit, 6 bit data frame
3. Sequence configuration:
+ Writa data 32'h0 in MDR register
+ Write division in DLL, DLH register
+ Write data 32'h29 in LCR register
+ Write random data in TBR register
</t>
    </r>
    <r>
      <rPr>
        <b/>
        <sz val="11"/>
        <color theme="1"/>
        <rFont val="Calibri"/>
        <family val="2"/>
      </rPr>
      <t>Pass condition</t>
    </r>
    <r>
      <rPr>
        <sz val="11"/>
        <color theme="1"/>
        <rFont val="Calibri"/>
        <family val="2"/>
      </rPr>
      <t xml:space="preserve">: Check value matching </t>
    </r>
  </si>
  <si>
    <r>
      <t xml:space="preserve">1. Random mode, random baud rate
2. UART frame: NONE parity, 1 stop bit, 5 bit data frame
3. Sequence configuration:
+ Writa random data  in MDR register
+ Write division in DLL, DLH register
+ Write data 32'h20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</si>
  <si>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1 stop bit, 5 bit data frame
3. Sequence configuration:
+ Writa random data  in MDR register
+ Write division in DLL, DLH register
+ Write data 32'h38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</si>
  <si>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ODD parity, 1 stop bit, 5 bit data frame
3. Sequence configuration:
+ Writa random data  in MDR register
+ Write division in DLL, DLH register
+ Write data 32'h28 in LCR register
+ Write random data in TBR register
</t>
    </r>
    <r>
      <rPr>
        <b/>
        <sz val="11"/>
        <color theme="1"/>
        <rFont val="Calibri"/>
        <family val="2"/>
      </rPr>
      <t>Pass condition</t>
    </r>
    <r>
      <rPr>
        <sz val="11"/>
        <color theme="1"/>
        <rFont val="Calibri"/>
        <family val="2"/>
      </rPr>
      <t xml:space="preserve">: Check value matching </t>
    </r>
  </si>
  <si>
    <r>
      <t xml:space="preserve">1. Random mode, random baud rate
2. UART frame: NONE parity, 2 stop bit, 5 bit data frame
3. Sequence configuration:
+ Writa random data  in MDR register
+ Write division in DLL, DLH register
+ Write data 32'h24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</si>
  <si>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2 stop bit, 5 bit data frame
3. Sequence configuration:
+ Writa random data  in MDR register
+ Write division in DLL, DLH register
+ Write data 32'h3C in LCR register
+ Write random data in TBR register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</si>
  <si>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5 bit data frame
3. Sequence configuration:
+ Writa random data  in MDR register
+ Write division in DLL, DLH register
+ Write data 32'h2C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</si>
  <si>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1 stop bit, 6 bit data frame
3. Sequence configuration:
+ Writa random data  in MDR register
+ Write division in DLL, DLH register
+ Write data 32'h21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</si>
  <si>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1 stop bit, 6 bit data frame
3. Sequence configuration:
+ Writa random data  in MDR register
+ Write division in DLL, DLH register
+ Write data 32'h39 in LCR register
+ Write random data in TBR register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</si>
  <si>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6 bit data frame
3. Sequence configuration:
+ Writa random data  in MDR register
+ Write division in DLL, DLH register
+ Write data 32'h29 in LCR register
+ Write random data in TBR register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</si>
  <si>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NONE parity, 2 stop bit, 6 bit data frame
3. Sequence configuration:
+ Writa random data  in MDR register
+ Write division in DLL, DLH register
+ Write data 32'h25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</si>
  <si>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2 stop bit, 6 bit data frame
3. Sequence configuration:
+ Writa random data  in MDR register
+ Write division in DLL, DLH register
+ Write data 32'h3D in LCR register
+ Write random data in TBR register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</si>
  <si>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6 bit data frame
3. Sequence configuration:
+ Writa random data  in MDR register
+ Write division in DLL, DLH register
+ Write data 32'h2D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</si>
  <si>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1 stop bit, 7 bit data frame
3. Sequence configuration:
+ Writa random data  in MDR register
+ Write division in DLL, DLH register
+ Write data 32'h22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</si>
  <si>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1 stop bit, 7 bit data frame
3. Sequence configuration:
+ Writa random data  in MDR register
+ Write division in DLL, DLH register
+ Write data 32'h3A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</si>
  <si>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ODD parity, 1 stop bit, 7 bit data frame
3. Sequence configuration:
+ Writa random data  in MDR register
+ Write division in DLL, DLH register
+ Write data 32'h2A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</si>
  <si>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2 stop bit, 7 bit data frame
3. Sequence configuration:
+ Writa random data  in MDR register
+ Write division in DLL, DLH register
+ Write data 32'h26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</si>
  <si>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2 stop bit, 7 bit data frame
3. Sequence configuration:
+ Writa random data  in MDR register
+ Write division in DLL, DLH register
+ Write data 32'h3E in LCR register
+ Write random data in TBR register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</si>
  <si>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7 bit data frame
3. Sequence configuration:
+ Writa random data  in MDR register
+ Write division in DLL, DLH register
+ Write data 32'h2E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</si>
  <si>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1 stop bit, 8 bit data frame
3. Sequence configuration:
+ Writa random data  in MDR register
+ Write division in DLL, DLH register
+ Write data 32'h23 in LCR register
+ Write random data in TBR register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</si>
  <si>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EVEN parity, 1 stop bit, 8 bit data frame
3. Sequence configuration:
+ Writa random data  in MDR register
+ Write division in DLL, DLH register
+ Write data 32'h3B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</si>
  <si>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ODD parity, 1 stop bit, 8 bit data frame
3. Sequence configuration:
+ Writa random data  in MDR register
+ Write division in DLL, DLH register
+ Write data 32'h2B in LCR register
+ Write random data in TBR register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</si>
  <si>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NONE parity, 2 stop bit, 8 bit data frame
3. Sequence configuration:
+ Writa random data  in MDR register
+ Write division in DLL, DLH register
+ Write data 32'h27 in LCR register
+ Write random data in TBR register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</si>
  <si>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EVEN parity, 2 stop bit, 8 bit data frame
3. Sequence configuration:
+ Writa random data  in MDR register
+ Write division in DLL, DLH register
+ Write data 32'h3F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</si>
  <si>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ODD parity, 1 stop bit, 8 bit data frame
3. Sequence configuration:
+ Writa random data  in MDR register
+ Write division in DLL, DLH register
+ Write data 32'h2F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</si>
  <si>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random parity, random stop bit, random bit data frame
3. Sequence configuration:
+ Writa random data  in MDR register
+ Write division in DLL, DLH register
+ Write data in LCR register
+ Write random data in TBR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</si>
  <si>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1 stop bit, 5 bit data frame
3. Sequence configuration:
+ Writa random data  in MDR register
+ Write division in DLL, DLH register
+ Write data 32'h20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</si>
  <si>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1 stop bit, 5 bit data frame
3. Sequence configuration:
+ Writa random data  in MDR register
+ Write division in DLL, DLH register
+ Write data 32'h38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</si>
  <si>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ODD parity, 1 stop bit, 5 bit data frame
3. Sequence configuration:
+ Writa random data  in MDR register
+ Write division in DLL, DLH register
+ Write data 32'h28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</si>
  <si>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2 stop bit, 5 bit data frame
3. Sequence configuration:
+ Writa random data  in MDR register
+ Write division in DLL, DLH register
+ Write data 32'h24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</si>
  <si>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2 stop bit, 5 bit data frame
3. Sequence configuration:
+ Writa random data  in MDR register
+ Write division in DLL, DLH register
+ Write data 32'h3C in LCR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</si>
  <si>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5 bit data frame
3. Sequence configuration:
+ Writa random data  in MDR register
+ Write division in DLL, DLH register
+ Write data 32'h2C in LCR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</si>
  <si>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NONE parity, 1 stop bit, 6 bit data frame
3. Sequence configuration:
+ Writa random data  in MDR register
+ Write division in DLL, DLH register
+ Write data 32'h21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</si>
  <si>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1 stop bit, 6 bit data frame
3. Sequence configuration:
+ Writa random data  in MDR register
+ Write division in DLL, DLH register
+ Write data 32'h39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</si>
  <si>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ODD parity, 1 stop bit, 6 bit data frame
3. Sequence configuration:
+ Writa random data  in MDR register
+ Write division in DLL, DLH register
+ Write data 32'h29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</si>
  <si>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2 stop bit, 6 bit data frame
3. Sequence configuration:
+ Writa random data  in MDR register
+ Write division in DLL, DLH register
+ Write data 32'h25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</si>
  <si>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2 stop bit, 6 bit data frame
3. Sequence configuration:
+ Writa random data  in MDR register
+ Write division in DLL, DLH register
+ Write data 32'h3D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</si>
  <si>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ODD parity, 1 stop bit, 6 bit data frame
3. Sequence configuration:
+ Writa random data  in MDR register
+ Write division in DLL, DLH register
+ Write data 32'h2D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</si>
  <si>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1 stop bit, 7 bit data frame
3. Sequence configuration:
+ Writa random data  in MDR register
+ Write division in DLL, DLH register
+ Write data 32'h22 in LCR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</si>
  <si>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EVEN parity, 1 stop bit, 7 bit data frame
3. Sequence configuration:
+ Writa random data  in MDR register
+ Write division in DLL, DLH register
+ Write data 32'h3A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</si>
  <si>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ODD parity, 1 stop bit, 7 bit data frame
3. Sequence configuration:
+ Writa random data  in MDR register
+ Write division in DLL, DLH register
+ Write data 32'h2A in LCR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</si>
  <si>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NONE parity, 2 stop bit, 7 bit data frame
3. Sequence configuration:
+ Writa random data  in MDR register
+ Write division in DLL, DLH register
+ Write data 32'h26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</si>
  <si>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2 stop bit, 7 bit data frame
3. Sequence configuration:
+ Writa random data  in MDR register
+ Write division in DLL, DLH register
+ Write data 32'h3E in LCR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</si>
  <si>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7 bit data frame
3. Sequence configuration:
+ Writa random data  in MDR register
+ Write division in DLL, DLH register
+ Write data 32'h2E in LCR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</si>
  <si>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NONE parity, 1 stop bit, 8 bit data frame
3. Sequence configuration:
+ Writa random data  in MDR register
+ Write division in DLL, DLH register
+ Write data 32'h23 in LCR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</si>
  <si>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EVEN parity, 1 stop bit, 8 bit data frame
3. Sequence configuration:
+ Writa random data  in MDR register
+ Write division in DLL, DLH register
+ Write data 32'h3B in LCR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</si>
  <si>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8 bit data frame
3. Sequence configuration:
+ Writa random data  in MDR register
+ Write division in DLL, DLH register
+ Write data 32'h2B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</si>
  <si>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2 stop bit, 8 bit data frame
3. Sequence configuration:
+ Writa random data  in MDR register
+ Write division in DLL, DLH register
+ Write data 32'h27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</si>
  <si>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2 stop bit, 8 bit data frame
3. Sequence configuration:
+ Writa random data  in MDR register
+ Write division in DLL, DLH register
+ Write data 32'h3F in LCR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</si>
  <si>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8 bit data frame
3. Sequence configuration:
+ Writa random data  in MDR register
+ Write division in DLL, DLH register
+ Write data 32'h2F in LCR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</si>
  <si>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random parity, random stop bit, random bit data frame
3. Sequence configuration:
+ Writa random data  in MDR register
+ Write division in DLL, DLH register
+ Write data in LCR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</si>
  <si>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NONE parity, 1 stop bit, 5 bit data frame
3. Sequence configuration:
+ Writa random data  in MDR register
+ Write division in DLL, DLH register
+ Write data 32'h20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</si>
  <si>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1 stop bit, 5 bit data frame
3. Sequence configuration:
+ Writa random data  in MDR register
+ Write division in DLL, DLH register
+ Write data 32'h38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</si>
  <si>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ODD parity, 1 stop bit, 5 bit data frame
3. Sequence configuration:
+ Writa random data  in MDR register
+ Write division in DLL, DLH register
+ Write data 32'h28 in LCR register
+ Write random data in TBR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</si>
  <si>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NONE parity, 2 stop bit, 5 bit data frame
3. Sequence configuration:
+ Writa random data  in MDR register
+ Write division in DLL, DLH register
+ Write data 32'h24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</si>
  <si>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2 stop bit, 5 bit data frame
3. Sequence configuration:
+ Writa random data  in MDR register
+ Write division in DLL, DLH register
+ Write data 32'h3C in LCR register
+ Write random data in TBR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</si>
  <si>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5 bit data frame
3. Sequence configuration:
+ Writa random data  in MDR register
+ Write division in DLL, DLH register
+ Write data 32'h2C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</si>
  <si>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1 stop bit, 6 bit data frame
3. Sequence configuration:
+ Writa random data  in MDR register
+ Write division in DLL, DLH register
+ Write data 32'h21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</si>
  <si>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1 stop bit, 6 bit data frame
3. Sequence configuration:
+ Writa random data  in MDR register
+ Write division in DLL, DLH register
+ Write data 32'h39 in LCR register
+ Write random data in TBR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</si>
  <si>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6 bit data frame
3. Sequence configuration:
+ Writa random data  in MDR register
+ Write division in DLL, DLH register
+ Write data 32'h29 in LCR register
+ Write random data in TBR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</si>
  <si>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NONE parity, 2 stop bit, 6 bit data frame
3. Sequence configuration:
+ Writa random data  in MDR register
+ Write division in DLL, DLH register
+ Write data 32'h25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</si>
  <si>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2 stop bit, 6 bit data frame
3. Sequence configuration:
+ Writa random data  in MDR register
+ Write division in DLL, DLH register
+ Write data 32'h3D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</si>
  <si>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ODD parity, 1 stop bit, 6 bit data frame
3. Sequence configuration:
+ Writa random data  in MDR register
+ Write division in DLL, DLH register
+ Write data 32'h2D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</si>
  <si>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1 stop bit, 7 bit data frame
3. Sequence configuration:
+ Writa random data  in MDR register
+ Write division in DLL, DLH register
+ Write data 32'h22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</si>
  <si>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1 stop bit, 7 bit data frame
3. Sequence configuration:
+ Writa random data  in MDR register
+ Write division in DLL, DLH register
+ Write data 32'h3A in LCR register
+ Write random data in TBR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</si>
  <si>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7 bit data frame
3. Sequence configuration:
+ Writa random data  in MDR register
+ Write division in DLL, DLH register
+ Write data 32'h2A in LCR register
+ Write random data in TBR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</si>
  <si>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NONE parity, 2 stop bit, 7 bit data frame
3. Sequence configuration:
+ Writa random data  in MDR register
+ Write division in DLL, DLH register
+ Write data 32'h26 in LCR register
+ Write random data in TBR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</si>
  <si>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EVEN parity, 2 stop bit, 7 bit data frame
3. Sequence configuration:
+ Writa random data  in MDR register
+ Write division in DLL, DLH register
+ Write data 32'h3E in LCR register
+ Write random data in TBR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</si>
  <si>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7 bit data frame
3. Sequence configuration:
+ Writa random data  in MDR register
+ Write division in DLL, DLH register
+ Write data 32'h2E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</si>
  <si>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1 stop bit, 8 bit data frame
3. Sequence configuration:
+ Writa random data  in MDR register
+ Write division in DLL, DLH register
+ Write data 32'h23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</si>
  <si>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1 stop bit, 8 bit data frame
3. Sequence configuration:
+ Writa random data  in MDR register
+ Write division in DLL, DLH register
+ Write data 32'h3B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</si>
  <si>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ODD parity, 1 stop bit, 8 bit data frame
3. Sequence configuration:
+ Writa random data  in MDR register
+ Write division in DLL, DLH register
+ Write data 32'h2B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</si>
  <si>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NONE parity, 2 stop bit, 8 bit data frame
3. Sequence configuration:
+ Writa random data  in MDR register
+ Write division in DLL, DLH register
+ Write data 32'h27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</si>
  <si>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EVEN parity, 2 stop bit, 8 bit data frame
3. Sequence configuration:
+ Writa random data  in MDR register
+ Write division in DLL, DLH register
+ Write data 32'h3F in LCR register
+ Write random data in TBR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</si>
  <si>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random baud rate
2. UART frame: ODD parity, 1 stop bit, 8 bit data frame
3. Sequence configuration:
+ Writa random data  in MDR register
+ Write division in DLL, DLH register
+ Write data 32'h2F in LCR register
+ Write random data in TBR register
+ Random data and start seq of UART_VIP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Check value matching </t>
    </r>
  </si>
  <si>
    <r>
      <t xml:space="preserve">1. Random mode, random baud rate
2. UART frame: random parity, random stop bit, random bit data frame
3. Sequence configuration:
+ Writa random data  in MDR register
+ Write division in DLL, DLH register
+ Write data in LCR register
+ Write random data in TBR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Check value matching </t>
    </r>
  </si>
  <si>
    <r>
      <t xml:space="preserve">1. Random mode, baud rate = 2401
2. UART frame: EVEN parity, 1 stop bit, 8 bit data frame
3. Sequence configuration:
+ Writa random data  in MDR register
+ Write division in DLL, DLH register
+ Write data 8'FF in TBR register
+ Write random data to the TBR register 16 times.
+ Write data in LCR register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>Check data is 8'hFF</t>
    </r>
  </si>
  <si>
    <r>
      <t xml:space="preserve">1. Random mode, random baud rate
2. UART frame: random parity, random stop bit, random bit data frame
3. Sequence configuration:
+ Writa random data  in MDR register
+ Write division in DLL, DLH register
+ Write data in LCR register
+ Write data 5'b1_0000 in IER register
+ Read data in FSR register
+ Random data and start seq of UART_VIP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>bit parrity_error_status is 1</t>
    </r>
  </si>
  <si>
    <r>
      <t xml:space="preserve">1. Random mode, random baud rate
2. UART frame: random parity, random stop bit, random bit data frame
3. Sequence configuration:
+ Writa random data  in MDR register
+ Write division in DLL, DLH register
+ Write data in LCR register
+ Random data and start seq of UART_VIP
+ Write data 5'b0_0100 in IER register
+ Random data and start seq of UART_VIP
+ Read data in FSR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 bit rx_full_status is 1</t>
    </r>
  </si>
  <si>
    <r>
      <t xml:space="preserve">1. Random mode, random baud rate
2. UART frame: random parity, random stop bit, random bit data frame
3. Sequence configuration:
+ Writa random data  in MDR register
+ Write division in DLL, DLH register
+ Write data in LCR register
+ Write data 5'b0_1000 in IER register
+ Read data in FSR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 bit rx_empty_status is 1</t>
    </r>
  </si>
  <si>
    <r>
      <t xml:space="preserve">1. Random mode, random baud rate
2. UART frame: random parity, random stop bit, random bit data frame
3. Sequence configuration:
+ Writa random data  in MDR register
+ Write division in DLL, DLH register
+ Write data in LCR register
+ Write data 5'b0_0010 in IER register
+ Read data in FSR register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 xml:space="preserve"> bit tx_empty_status is 1</t>
    </r>
  </si>
  <si>
    <r>
      <t xml:space="preserve">1. Random mode, random baud rate
2. UART frame: random parity, random stop bit, random bit data frame
3. Sequence configuration:
+ Writa random data  in MDR register
+ Write division in DLL, DLH register
+ Write data in LCR register
+ Write data 5'b0_0001 in IER register
+ Read data in FSR register
</t>
    </r>
    <r>
      <rPr>
        <b/>
        <sz val="11"/>
        <color theme="1"/>
        <rFont val="Calibri"/>
        <family val="2"/>
      </rPr>
      <t xml:space="preserve">Pass condition: </t>
    </r>
    <r>
      <rPr>
        <sz val="11"/>
        <color theme="1"/>
        <rFont val="Calibri"/>
        <family val="2"/>
      </rPr>
      <t>bit tx_full_status is 1</t>
    </r>
  </si>
  <si>
    <r>
      <t xml:space="preserve">1. Random mode, random baud rate
2. UART frame: random parity, random stop bit, random bit data frame
3. Sequence configuration:
+ Writa random data  in MDR register
+ Write division in DLL, DLH register
+ Write data in LCR register
+ Random data and start seq of UART_VIP
+ Write data 5'b0_1000 in IER register
+ Read data in FSR register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  <family val="2"/>
      </rPr>
      <t xml:space="preserve">  bit rx_empty_status is 1 and read data in RBR is 8'h00</t>
    </r>
  </si>
  <si>
    <t>SVA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</si>
</sst>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4"/>
        <bgColor theme="4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1" xfId="0" applyFont="1" applyBorder="1"/>
    <xf numFmtId="0" fontId="3" fillId="0" borderId="3" xfId="0" applyFont="1" applyBorder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0" fontId="6" fillId="0" borderId="3" xfId="0" applyFont="1" applyBorder="1" applyAlignment="1">
      <alignment vertical="center" wrapText="1"/>
    </xf>
    <xf numFmtId="0" fontId="10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5" borderId="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8" borderId="0" xfId="0" applyFill="1"/>
    <xf numFmtId="0" fontId="3" fillId="8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0" fillId="6" borderId="3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27215</xdr:colOff>
      <xdr:row>9</xdr:row>
      <xdr:rowOff>244928</xdr:rowOff>
    </xdr:from>
    <xdr:to>
      <xdr:col>30</xdr:col>
      <xdr:colOff>455101</xdr:colOff>
      <xdr:row>16</xdr:row>
      <xdr:rowOff>752715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72A53-ED88-4944-ADB5-7A62671BB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42429" y="1714499"/>
          <a:ext cx="12728743" cy="6930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0"/>
  <sheetViews>
    <sheetView tabSelected="1" zoomScale="25" zoomScaleNormal="25" workbookViewId="0">
      <selection activeCell="Q21" sqref="Q21"/>
    </sheetView>
  </sheetViews>
  <sheetFormatPr defaultColWidth="14.44140625" defaultRowHeight="15" customHeight="1" x14ac:dyDescent="0.3"/>
  <cols>
    <col min="1" max="1" width="10.109375" style="13" customWidth="1"/>
    <col min="2" max="2" width="66.77734375" bestFit="1" customWidth="1"/>
    <col min="3" max="3" width="54.109375" bestFit="1" customWidth="1"/>
    <col min="4" max="4" width="31" bestFit="1" customWidth="1"/>
    <col min="5" max="5" width="8.77734375" style="13" customWidth="1"/>
    <col min="6" max="6" width="31.6640625" style="6" bestFit="1" customWidth="1"/>
    <col min="7" max="7" width="11.21875" style="6" bestFit="1" customWidth="1"/>
    <col min="8" max="8" width="12.33203125" style="13" bestFit="1" customWidth="1"/>
    <col min="9" max="9" width="12.88671875" style="6" customWidth="1"/>
    <col min="10" max="10" width="10.21875" bestFit="1" customWidth="1"/>
    <col min="11" max="26" width="8.6640625" customWidth="1"/>
  </cols>
  <sheetData>
    <row r="1" spans="1:14" ht="14.25" customHeight="1" x14ac:dyDescent="0.3">
      <c r="A1" s="19" t="s">
        <v>0</v>
      </c>
      <c r="B1" s="1">
        <f>COUNTA(A10:A13) + COUNTA(A15:A18)+ COUNTA(A20:A44)*3 + COUNTA(A98:A102) + 2</f>
        <v>90</v>
      </c>
      <c r="H1"/>
    </row>
    <row r="2" spans="1:14" ht="14.25" customHeight="1" x14ac:dyDescent="0.3">
      <c r="A2" s="19" t="s">
        <v>1</v>
      </c>
      <c r="B2" s="1">
        <f>COUNTIF(H8:H105,"PASSED")</f>
        <v>90</v>
      </c>
      <c r="G2" s="26"/>
    </row>
    <row r="3" spans="1:14" ht="14.25" customHeight="1" x14ac:dyDescent="0.3">
      <c r="A3" s="19" t="s">
        <v>2</v>
      </c>
      <c r="B3" s="1">
        <f>COUNTIF(H8:H105,"FAILED")</f>
        <v>0</v>
      </c>
      <c r="G3" s="26"/>
    </row>
    <row r="4" spans="1:14" ht="14.25" customHeight="1" x14ac:dyDescent="0.3">
      <c r="A4" s="19" t="s">
        <v>3</v>
      </c>
      <c r="B4" s="1">
        <f>COUNTIF(H10:H105,"NY")</f>
        <v>0</v>
      </c>
    </row>
    <row r="5" spans="1:14" ht="14.25" customHeight="1" x14ac:dyDescent="0.3"/>
    <row r="6" spans="1:14" ht="14.25" customHeight="1" x14ac:dyDescent="0.3"/>
    <row r="7" spans="1:14" ht="14.25" customHeight="1" x14ac:dyDescent="0.3">
      <c r="A7" s="14" t="s">
        <v>4</v>
      </c>
      <c r="B7" s="40" t="s">
        <v>5</v>
      </c>
      <c r="C7" s="14" t="s">
        <v>6</v>
      </c>
      <c r="D7" s="14" t="s">
        <v>7</v>
      </c>
      <c r="E7" s="14" t="s">
        <v>8</v>
      </c>
      <c r="F7" s="14" t="s">
        <v>9</v>
      </c>
      <c r="G7" s="14" t="s">
        <v>10</v>
      </c>
      <c r="H7" s="14" t="s">
        <v>11</v>
      </c>
      <c r="I7" s="14" t="s">
        <v>12</v>
      </c>
      <c r="J7" s="14" t="s">
        <v>13</v>
      </c>
    </row>
    <row r="8" spans="1:14" ht="14.25" customHeight="1" x14ac:dyDescent="0.3">
      <c r="A8" s="20">
        <v>1</v>
      </c>
      <c r="B8" s="8" t="s">
        <v>21</v>
      </c>
      <c r="C8" s="9"/>
      <c r="D8" s="9"/>
      <c r="E8" s="15"/>
      <c r="F8" s="12" t="s">
        <v>247</v>
      </c>
      <c r="G8" s="15"/>
      <c r="H8" s="15"/>
      <c r="I8" s="15"/>
      <c r="J8" s="41"/>
      <c r="N8" s="3"/>
    </row>
    <row r="9" spans="1:14" ht="14.25" customHeight="1" x14ac:dyDescent="0.3">
      <c r="A9" s="16">
        <v>2</v>
      </c>
      <c r="B9" s="42" t="s">
        <v>14</v>
      </c>
      <c r="C9" s="42"/>
      <c r="D9" s="42"/>
      <c r="E9" s="16"/>
      <c r="F9" s="16"/>
      <c r="G9" s="16"/>
      <c r="H9" s="22"/>
      <c r="I9" s="16"/>
      <c r="J9" s="42"/>
      <c r="N9" s="3"/>
    </row>
    <row r="10" spans="1:14" ht="57.6" x14ac:dyDescent="0.3">
      <c r="A10" s="21">
        <v>2.1</v>
      </c>
      <c r="B10" s="2" t="s">
        <v>15</v>
      </c>
      <c r="C10" s="7" t="s">
        <v>22</v>
      </c>
      <c r="D10" s="18" t="s">
        <v>69</v>
      </c>
      <c r="E10" s="17" t="s">
        <v>31</v>
      </c>
      <c r="F10" s="10" t="s">
        <v>16</v>
      </c>
      <c r="G10" s="24"/>
      <c r="H10" s="56" t="s">
        <v>160</v>
      </c>
      <c r="I10" s="59"/>
      <c r="J10" s="43"/>
      <c r="N10" s="4"/>
    </row>
    <row r="11" spans="1:14" ht="57.6" x14ac:dyDescent="0.3">
      <c r="A11" s="21">
        <v>2.2000000000000002</v>
      </c>
      <c r="B11" s="2" t="s">
        <v>17</v>
      </c>
      <c r="C11" s="7" t="s">
        <v>24</v>
      </c>
      <c r="D11" s="18" t="s">
        <v>70</v>
      </c>
      <c r="E11" s="17" t="s">
        <v>31</v>
      </c>
      <c r="F11" s="11" t="s">
        <v>16</v>
      </c>
      <c r="G11" s="24"/>
      <c r="H11" s="56" t="s">
        <v>160</v>
      </c>
      <c r="I11" s="59"/>
      <c r="J11" s="43"/>
      <c r="N11" s="5"/>
    </row>
    <row r="12" spans="1:14" ht="86.4" x14ac:dyDescent="0.3">
      <c r="A12" s="21">
        <v>2.2999999999999998</v>
      </c>
      <c r="B12" s="2" t="s">
        <v>18</v>
      </c>
      <c r="C12" s="7" t="s">
        <v>25</v>
      </c>
      <c r="D12" s="18" t="s">
        <v>71</v>
      </c>
      <c r="E12" s="17" t="s">
        <v>31</v>
      </c>
      <c r="F12" s="11" t="s">
        <v>16</v>
      </c>
      <c r="G12" s="24"/>
      <c r="H12" s="56" t="s">
        <v>160</v>
      </c>
      <c r="I12" s="59"/>
      <c r="J12" s="43"/>
    </row>
    <row r="13" spans="1:14" ht="57.6" x14ac:dyDescent="0.3">
      <c r="A13" s="21">
        <v>2.4</v>
      </c>
      <c r="B13" s="2" t="s">
        <v>20</v>
      </c>
      <c r="C13" s="7" t="s">
        <v>23</v>
      </c>
      <c r="D13" s="18" t="s">
        <v>72</v>
      </c>
      <c r="E13" s="17" t="s">
        <v>31</v>
      </c>
      <c r="F13" s="11" t="s">
        <v>16</v>
      </c>
      <c r="G13" s="24"/>
      <c r="H13" s="56" t="s">
        <v>160</v>
      </c>
      <c r="I13" s="59"/>
      <c r="J13" s="43"/>
    </row>
    <row r="14" spans="1:14" ht="14.4" x14ac:dyDescent="0.3">
      <c r="A14" s="34">
        <v>3</v>
      </c>
      <c r="B14" s="35" t="s">
        <v>38</v>
      </c>
      <c r="C14" s="44"/>
      <c r="D14" s="35"/>
      <c r="E14" s="34"/>
      <c r="F14" s="34"/>
      <c r="G14" s="12"/>
      <c r="H14" s="33"/>
      <c r="I14" s="34"/>
      <c r="J14" s="35"/>
    </row>
    <row r="15" spans="1:14" ht="115.2" x14ac:dyDescent="0.3">
      <c r="A15" s="11">
        <v>3.1</v>
      </c>
      <c r="B15" s="18" t="s">
        <v>65</v>
      </c>
      <c r="C15" s="7" t="s">
        <v>161</v>
      </c>
      <c r="D15" s="18" t="s">
        <v>73</v>
      </c>
      <c r="E15" s="57" t="s">
        <v>31</v>
      </c>
      <c r="F15" s="11" t="s">
        <v>16</v>
      </c>
      <c r="G15" s="24"/>
      <c r="H15" s="56" t="s">
        <v>160</v>
      </c>
      <c r="I15" s="60"/>
      <c r="J15" s="2"/>
    </row>
    <row r="16" spans="1:14" ht="115.2" x14ac:dyDescent="0.3">
      <c r="A16" s="11">
        <v>3.2</v>
      </c>
      <c r="B16" s="18" t="s">
        <v>66</v>
      </c>
      <c r="C16" s="7" t="s">
        <v>162</v>
      </c>
      <c r="D16" s="18" t="s">
        <v>74</v>
      </c>
      <c r="E16" s="30" t="s">
        <v>31</v>
      </c>
      <c r="F16" s="31" t="s">
        <v>16</v>
      </c>
      <c r="G16" s="32"/>
      <c r="H16" s="56" t="s">
        <v>160</v>
      </c>
      <c r="I16" s="60"/>
      <c r="J16" s="2"/>
    </row>
    <row r="17" spans="1:10" ht="115.2" x14ac:dyDescent="0.3">
      <c r="A17" s="11">
        <v>3.3</v>
      </c>
      <c r="B17" s="18" t="s">
        <v>67</v>
      </c>
      <c r="C17" s="7" t="s">
        <v>163</v>
      </c>
      <c r="D17" s="18" t="s">
        <v>75</v>
      </c>
      <c r="E17" s="17" t="s">
        <v>31</v>
      </c>
      <c r="F17" s="11" t="s">
        <v>16</v>
      </c>
      <c r="G17" s="24"/>
      <c r="H17" s="56" t="s">
        <v>160</v>
      </c>
      <c r="I17" s="60"/>
      <c r="J17" s="2"/>
    </row>
    <row r="18" spans="1:10" ht="115.2" x14ac:dyDescent="0.3">
      <c r="A18" s="11">
        <v>3.4</v>
      </c>
      <c r="B18" s="18" t="s">
        <v>68</v>
      </c>
      <c r="C18" s="7" t="s">
        <v>164</v>
      </c>
      <c r="D18" s="18" t="s">
        <v>76</v>
      </c>
      <c r="E18" s="58" t="s">
        <v>31</v>
      </c>
      <c r="F18" s="11" t="s">
        <v>16</v>
      </c>
      <c r="G18" s="24"/>
      <c r="H18" s="56" t="s">
        <v>160</v>
      </c>
      <c r="I18" s="60"/>
      <c r="J18" s="2"/>
    </row>
    <row r="19" spans="1:10" ht="14.25" customHeight="1" x14ac:dyDescent="0.3">
      <c r="A19" s="16">
        <v>4</v>
      </c>
      <c r="B19" s="45" t="s">
        <v>33</v>
      </c>
      <c r="C19" s="42"/>
      <c r="D19" s="42"/>
      <c r="E19" s="16"/>
      <c r="F19" s="16"/>
      <c r="G19" s="16"/>
      <c r="H19" s="16"/>
      <c r="I19" s="16"/>
      <c r="J19" s="42"/>
    </row>
    <row r="20" spans="1:10" ht="115.2" x14ac:dyDescent="0.3">
      <c r="A20" s="36" t="str">
        <f>_xlfn.CONCAT(A19,".", 1)</f>
        <v>4.1</v>
      </c>
      <c r="B20" s="46" t="s">
        <v>39</v>
      </c>
      <c r="C20" s="7" t="s">
        <v>165</v>
      </c>
      <c r="D20" s="54" t="s">
        <v>78</v>
      </c>
      <c r="E20" s="17" t="s">
        <v>31</v>
      </c>
      <c r="F20" s="10" t="s">
        <v>16</v>
      </c>
      <c r="G20" s="24"/>
      <c r="H20" s="56" t="s">
        <v>160</v>
      </c>
      <c r="I20" s="61"/>
      <c r="J20" s="43"/>
    </row>
    <row r="21" spans="1:10" ht="115.2" x14ac:dyDescent="0.3">
      <c r="A21" s="17" t="str">
        <f>_xlfn.CONCAT($A$19,".", RIGHT(A20,1)+1)</f>
        <v>4.2</v>
      </c>
      <c r="B21" s="46" t="s">
        <v>43</v>
      </c>
      <c r="C21" s="7" t="s">
        <v>166</v>
      </c>
      <c r="D21" s="54" t="s">
        <v>79</v>
      </c>
      <c r="E21" s="17" t="s">
        <v>31</v>
      </c>
      <c r="F21" s="10" t="s">
        <v>16</v>
      </c>
      <c r="G21" s="24"/>
      <c r="H21" s="56" t="s">
        <v>160</v>
      </c>
      <c r="I21" s="61"/>
      <c r="J21" s="43"/>
    </row>
    <row r="22" spans="1:10" ht="115.2" x14ac:dyDescent="0.3">
      <c r="A22" s="17" t="str">
        <f t="shared" ref="A22:A29" si="0">_xlfn.CONCAT($A$19,".", RIGHT(A21,1)+1)</f>
        <v>4.3</v>
      </c>
      <c r="B22" s="46" t="s">
        <v>42</v>
      </c>
      <c r="C22" s="7" t="s">
        <v>167</v>
      </c>
      <c r="D22" s="54" t="s">
        <v>80</v>
      </c>
      <c r="E22" s="17" t="s">
        <v>31</v>
      </c>
      <c r="F22" s="11" t="s">
        <v>16</v>
      </c>
      <c r="G22" s="24"/>
      <c r="H22" s="56" t="s">
        <v>160</v>
      </c>
      <c r="I22" s="61"/>
      <c r="J22" s="54"/>
    </row>
    <row r="23" spans="1:10" ht="115.2" x14ac:dyDescent="0.3">
      <c r="A23" s="17" t="str">
        <f t="shared" si="0"/>
        <v>4.4</v>
      </c>
      <c r="B23" s="46" t="s">
        <v>40</v>
      </c>
      <c r="C23" s="7" t="s">
        <v>168</v>
      </c>
      <c r="D23" s="54" t="s">
        <v>81</v>
      </c>
      <c r="E23" s="17" t="s">
        <v>31</v>
      </c>
      <c r="F23" s="10" t="s">
        <v>16</v>
      </c>
      <c r="G23" s="24"/>
      <c r="H23" s="56" t="s">
        <v>160</v>
      </c>
      <c r="I23" s="61"/>
      <c r="J23" s="43"/>
    </row>
    <row r="24" spans="1:10" ht="115.2" x14ac:dyDescent="0.3">
      <c r="A24" s="17" t="str">
        <f t="shared" si="0"/>
        <v>4.5</v>
      </c>
      <c r="B24" s="46" t="s">
        <v>41</v>
      </c>
      <c r="C24" s="7" t="s">
        <v>169</v>
      </c>
      <c r="D24" s="54" t="s">
        <v>82</v>
      </c>
      <c r="E24" s="17" t="s">
        <v>31</v>
      </c>
      <c r="F24" s="11" t="s">
        <v>16</v>
      </c>
      <c r="G24" s="24"/>
      <c r="H24" s="56" t="s">
        <v>160</v>
      </c>
      <c r="I24" s="61"/>
      <c r="J24" s="43"/>
    </row>
    <row r="25" spans="1:10" ht="115.2" x14ac:dyDescent="0.3">
      <c r="A25" s="17" t="str">
        <f t="shared" si="0"/>
        <v>4.6</v>
      </c>
      <c r="B25" s="46" t="s">
        <v>47</v>
      </c>
      <c r="C25" s="7" t="s">
        <v>170</v>
      </c>
      <c r="D25" s="54" t="s">
        <v>83</v>
      </c>
      <c r="E25" s="17" t="s">
        <v>31</v>
      </c>
      <c r="F25" s="11" t="s">
        <v>16</v>
      </c>
      <c r="G25" s="24"/>
      <c r="H25" s="56" t="s">
        <v>160</v>
      </c>
      <c r="I25" s="61"/>
      <c r="J25" s="54"/>
    </row>
    <row r="26" spans="1:10" ht="115.2" x14ac:dyDescent="0.3">
      <c r="A26" s="17" t="str">
        <f t="shared" si="0"/>
        <v>4.7</v>
      </c>
      <c r="B26" s="46" t="s">
        <v>44</v>
      </c>
      <c r="C26" s="7" t="s">
        <v>171</v>
      </c>
      <c r="D26" s="54" t="s">
        <v>84</v>
      </c>
      <c r="E26" s="17" t="s">
        <v>31</v>
      </c>
      <c r="F26" s="11" t="s">
        <v>16</v>
      </c>
      <c r="G26" s="24"/>
      <c r="H26" s="56" t="s">
        <v>160</v>
      </c>
      <c r="I26" s="61"/>
      <c r="J26" s="47"/>
    </row>
    <row r="27" spans="1:10" ht="115.2" x14ac:dyDescent="0.3">
      <c r="A27" s="17" t="str">
        <f t="shared" si="0"/>
        <v>4.8</v>
      </c>
      <c r="B27" s="46" t="s">
        <v>45</v>
      </c>
      <c r="C27" s="7" t="s">
        <v>172</v>
      </c>
      <c r="D27" s="54" t="s">
        <v>85</v>
      </c>
      <c r="E27" s="17" t="s">
        <v>31</v>
      </c>
      <c r="F27" s="11" t="s">
        <v>16</v>
      </c>
      <c r="G27" s="24"/>
      <c r="H27" s="56" t="s">
        <v>160</v>
      </c>
      <c r="I27" s="61"/>
      <c r="J27" s="47"/>
    </row>
    <row r="28" spans="1:10" ht="115.2" x14ac:dyDescent="0.3">
      <c r="A28" s="17" t="str">
        <f t="shared" si="0"/>
        <v>4.9</v>
      </c>
      <c r="B28" s="46" t="s">
        <v>46</v>
      </c>
      <c r="C28" s="7" t="s">
        <v>173</v>
      </c>
      <c r="D28" s="54" t="s">
        <v>86</v>
      </c>
      <c r="E28" s="17" t="s">
        <v>31</v>
      </c>
      <c r="F28" s="11" t="s">
        <v>16</v>
      </c>
      <c r="G28" s="24"/>
      <c r="H28" s="56" t="s">
        <v>160</v>
      </c>
      <c r="I28" s="61"/>
      <c r="J28" s="48"/>
    </row>
    <row r="29" spans="1:10" ht="115.2" x14ac:dyDescent="0.3">
      <c r="A29" s="17" t="str">
        <f t="shared" si="0"/>
        <v>4.10</v>
      </c>
      <c r="B29" s="46" t="s">
        <v>48</v>
      </c>
      <c r="C29" s="7" t="s">
        <v>174</v>
      </c>
      <c r="D29" s="54" t="s">
        <v>87</v>
      </c>
      <c r="E29" s="17" t="s">
        <v>31</v>
      </c>
      <c r="F29" s="11" t="s">
        <v>16</v>
      </c>
      <c r="G29" s="24"/>
      <c r="H29" s="56" t="s">
        <v>160</v>
      </c>
      <c r="I29" s="61"/>
      <c r="J29" s="48"/>
    </row>
    <row r="30" spans="1:10" ht="115.2" x14ac:dyDescent="0.3">
      <c r="A30" s="17" t="str">
        <f>_xlfn.CONCAT($A$19,".", RIGHT(A29,2)+1)</f>
        <v>4.11</v>
      </c>
      <c r="B30" s="46" t="s">
        <v>49</v>
      </c>
      <c r="C30" s="7" t="s">
        <v>175</v>
      </c>
      <c r="D30" s="54" t="s">
        <v>88</v>
      </c>
      <c r="E30" s="17" t="s">
        <v>31</v>
      </c>
      <c r="F30" s="11" t="s">
        <v>16</v>
      </c>
      <c r="G30" s="24"/>
      <c r="H30" s="56" t="s">
        <v>160</v>
      </c>
      <c r="I30" s="61"/>
      <c r="J30" s="48"/>
    </row>
    <row r="31" spans="1:10" ht="115.2" x14ac:dyDescent="0.3">
      <c r="A31" s="17" t="str">
        <f>_xlfn.CONCAT($A$19,".", RIGHT(A30,2)+1)</f>
        <v>4.12</v>
      </c>
      <c r="B31" s="46" t="s">
        <v>50</v>
      </c>
      <c r="C31" s="7" t="s">
        <v>176</v>
      </c>
      <c r="D31" s="54" t="s">
        <v>89</v>
      </c>
      <c r="E31" s="17" t="s">
        <v>31</v>
      </c>
      <c r="F31" s="11" t="s">
        <v>16</v>
      </c>
      <c r="G31" s="24"/>
      <c r="H31" s="56" t="s">
        <v>160</v>
      </c>
      <c r="I31" s="61"/>
      <c r="J31" s="48"/>
    </row>
    <row r="32" spans="1:10" ht="115.2" x14ac:dyDescent="0.3">
      <c r="A32" s="17" t="str">
        <f t="shared" ref="A32:A44" si="1">_xlfn.CONCAT($A$19,".", RIGHT(A31,2)+1)</f>
        <v>4.13</v>
      </c>
      <c r="B32" s="46" t="s">
        <v>51</v>
      </c>
      <c r="C32" s="7" t="s">
        <v>177</v>
      </c>
      <c r="D32" s="54" t="s">
        <v>90</v>
      </c>
      <c r="E32" s="17" t="s">
        <v>31</v>
      </c>
      <c r="F32" s="11" t="s">
        <v>16</v>
      </c>
      <c r="G32" s="24"/>
      <c r="H32" s="56" t="s">
        <v>160</v>
      </c>
      <c r="I32" s="61"/>
      <c r="J32" s="48"/>
    </row>
    <row r="33" spans="1:10" ht="115.2" x14ac:dyDescent="0.3">
      <c r="A33" s="17" t="str">
        <f t="shared" si="1"/>
        <v>4.14</v>
      </c>
      <c r="B33" s="46" t="s">
        <v>52</v>
      </c>
      <c r="C33" s="7" t="s">
        <v>178</v>
      </c>
      <c r="D33" s="54" t="s">
        <v>91</v>
      </c>
      <c r="E33" s="17" t="s">
        <v>31</v>
      </c>
      <c r="F33" s="11" t="s">
        <v>16</v>
      </c>
      <c r="G33" s="24"/>
      <c r="H33" s="56" t="s">
        <v>160</v>
      </c>
      <c r="I33" s="61"/>
      <c r="J33" s="48"/>
    </row>
    <row r="34" spans="1:10" ht="115.2" x14ac:dyDescent="0.3">
      <c r="A34" s="17" t="str">
        <f t="shared" si="1"/>
        <v>4.15</v>
      </c>
      <c r="B34" s="46" t="s">
        <v>53</v>
      </c>
      <c r="C34" s="7" t="s">
        <v>179</v>
      </c>
      <c r="D34" s="54" t="s">
        <v>92</v>
      </c>
      <c r="E34" s="17" t="s">
        <v>31</v>
      </c>
      <c r="F34" s="11" t="s">
        <v>16</v>
      </c>
      <c r="G34" s="24"/>
      <c r="H34" s="56" t="s">
        <v>160</v>
      </c>
      <c r="I34" s="61"/>
      <c r="J34" s="48"/>
    </row>
    <row r="35" spans="1:10" ht="115.2" x14ac:dyDescent="0.3">
      <c r="A35" s="17" t="str">
        <f t="shared" si="1"/>
        <v>4.16</v>
      </c>
      <c r="B35" s="46" t="s">
        <v>54</v>
      </c>
      <c r="C35" s="7" t="s">
        <v>180</v>
      </c>
      <c r="D35" s="54" t="s">
        <v>93</v>
      </c>
      <c r="E35" s="17" t="s">
        <v>31</v>
      </c>
      <c r="F35" s="11" t="s">
        <v>16</v>
      </c>
      <c r="G35" s="24"/>
      <c r="H35" s="56" t="s">
        <v>160</v>
      </c>
      <c r="I35" s="61"/>
      <c r="J35" s="48"/>
    </row>
    <row r="36" spans="1:10" ht="115.2" x14ac:dyDescent="0.3">
      <c r="A36" s="17" t="str">
        <f t="shared" si="1"/>
        <v>4.17</v>
      </c>
      <c r="B36" s="46" t="s">
        <v>55</v>
      </c>
      <c r="C36" s="7" t="s">
        <v>181</v>
      </c>
      <c r="D36" s="54" t="s">
        <v>94</v>
      </c>
      <c r="E36" s="17" t="s">
        <v>31</v>
      </c>
      <c r="F36" s="11" t="s">
        <v>16</v>
      </c>
      <c r="G36" s="24"/>
      <c r="H36" s="56" t="s">
        <v>160</v>
      </c>
      <c r="I36" s="61"/>
      <c r="J36" s="48"/>
    </row>
    <row r="37" spans="1:10" ht="115.2" x14ac:dyDescent="0.3">
      <c r="A37" s="17" t="str">
        <f t="shared" si="1"/>
        <v>4.18</v>
      </c>
      <c r="B37" s="46" t="s">
        <v>56</v>
      </c>
      <c r="C37" s="7" t="s">
        <v>182</v>
      </c>
      <c r="D37" s="54" t="s">
        <v>95</v>
      </c>
      <c r="E37" s="17" t="s">
        <v>31</v>
      </c>
      <c r="F37" s="11" t="s">
        <v>16</v>
      </c>
      <c r="G37" s="24"/>
      <c r="H37" s="56" t="s">
        <v>160</v>
      </c>
      <c r="I37" s="61"/>
      <c r="J37" s="48"/>
    </row>
    <row r="38" spans="1:10" ht="115.2" x14ac:dyDescent="0.3">
      <c r="A38" s="17" t="str">
        <f t="shared" si="1"/>
        <v>4.19</v>
      </c>
      <c r="B38" s="46" t="s">
        <v>57</v>
      </c>
      <c r="C38" s="7" t="s">
        <v>183</v>
      </c>
      <c r="D38" s="54" t="s">
        <v>96</v>
      </c>
      <c r="E38" s="17" t="s">
        <v>31</v>
      </c>
      <c r="F38" s="11" t="s">
        <v>16</v>
      </c>
      <c r="G38" s="24"/>
      <c r="H38" s="56" t="s">
        <v>160</v>
      </c>
      <c r="I38" s="61"/>
      <c r="J38" s="48"/>
    </row>
    <row r="39" spans="1:10" ht="115.2" x14ac:dyDescent="0.3">
      <c r="A39" s="17" t="str">
        <f t="shared" si="1"/>
        <v>4.20</v>
      </c>
      <c r="B39" s="46" t="s">
        <v>58</v>
      </c>
      <c r="C39" s="7" t="s">
        <v>184</v>
      </c>
      <c r="D39" s="54" t="s">
        <v>97</v>
      </c>
      <c r="E39" s="17" t="s">
        <v>31</v>
      </c>
      <c r="F39" s="11" t="s">
        <v>16</v>
      </c>
      <c r="G39" s="24"/>
      <c r="H39" s="56" t="s">
        <v>160</v>
      </c>
      <c r="I39" s="61"/>
      <c r="J39" s="54"/>
    </row>
    <row r="40" spans="1:10" ht="115.2" x14ac:dyDescent="0.3">
      <c r="A40" s="17" t="str">
        <f t="shared" si="1"/>
        <v>4.21</v>
      </c>
      <c r="B40" s="46" t="s">
        <v>59</v>
      </c>
      <c r="C40" s="7" t="s">
        <v>185</v>
      </c>
      <c r="D40" s="54" t="s">
        <v>98</v>
      </c>
      <c r="E40" s="17" t="s">
        <v>31</v>
      </c>
      <c r="F40" s="11" t="s">
        <v>16</v>
      </c>
      <c r="G40" s="24"/>
      <c r="H40" s="56" t="s">
        <v>160</v>
      </c>
      <c r="I40" s="61"/>
      <c r="J40" s="48"/>
    </row>
    <row r="41" spans="1:10" ht="115.2" x14ac:dyDescent="0.3">
      <c r="A41" s="17" t="str">
        <f t="shared" si="1"/>
        <v>4.22</v>
      </c>
      <c r="B41" s="46" t="s">
        <v>60</v>
      </c>
      <c r="C41" s="7" t="s">
        <v>186</v>
      </c>
      <c r="D41" s="54" t="s">
        <v>99</v>
      </c>
      <c r="E41" s="17" t="s">
        <v>31</v>
      </c>
      <c r="F41" s="11" t="s">
        <v>16</v>
      </c>
      <c r="G41" s="24"/>
      <c r="H41" s="56" t="s">
        <v>160</v>
      </c>
      <c r="I41" s="61"/>
      <c r="J41" s="48"/>
    </row>
    <row r="42" spans="1:10" ht="115.2" x14ac:dyDescent="0.3">
      <c r="A42" s="17" t="str">
        <f t="shared" si="1"/>
        <v>4.23</v>
      </c>
      <c r="B42" s="46" t="s">
        <v>61</v>
      </c>
      <c r="C42" s="7" t="s">
        <v>187</v>
      </c>
      <c r="D42" s="54" t="s">
        <v>100</v>
      </c>
      <c r="E42" s="17" t="s">
        <v>31</v>
      </c>
      <c r="F42" s="11" t="s">
        <v>16</v>
      </c>
      <c r="G42" s="24"/>
      <c r="H42" s="56" t="s">
        <v>160</v>
      </c>
      <c r="I42" s="61"/>
      <c r="J42" s="48"/>
    </row>
    <row r="43" spans="1:10" ht="115.2" x14ac:dyDescent="0.3">
      <c r="A43" s="17" t="str">
        <f t="shared" si="1"/>
        <v>4.24</v>
      </c>
      <c r="B43" s="46" t="s">
        <v>62</v>
      </c>
      <c r="C43" s="7" t="s">
        <v>188</v>
      </c>
      <c r="D43" s="54" t="s">
        <v>101</v>
      </c>
      <c r="E43" s="17" t="s">
        <v>31</v>
      </c>
      <c r="F43" s="11" t="s">
        <v>16</v>
      </c>
      <c r="G43" s="24"/>
      <c r="H43" s="56" t="s">
        <v>160</v>
      </c>
      <c r="I43" s="61"/>
      <c r="J43" s="48"/>
    </row>
    <row r="44" spans="1:10" ht="129.6" x14ac:dyDescent="0.3">
      <c r="A44" s="17" t="str">
        <f t="shared" si="1"/>
        <v>4.25</v>
      </c>
      <c r="B44" s="46" t="s">
        <v>63</v>
      </c>
      <c r="C44" s="7" t="s">
        <v>189</v>
      </c>
      <c r="D44" s="54" t="s">
        <v>77</v>
      </c>
      <c r="E44" s="17" t="s">
        <v>32</v>
      </c>
      <c r="F44" s="11" t="s">
        <v>16</v>
      </c>
      <c r="G44" s="24"/>
      <c r="H44" s="56" t="s">
        <v>160</v>
      </c>
      <c r="I44" s="61"/>
      <c r="J44" s="48"/>
    </row>
    <row r="45" spans="1:10" ht="14.25" customHeight="1" x14ac:dyDescent="0.3">
      <c r="A45" s="23">
        <v>5</v>
      </c>
      <c r="B45" s="49" t="s">
        <v>34</v>
      </c>
      <c r="C45" s="50"/>
      <c r="D45" s="50"/>
      <c r="E45" s="23"/>
      <c r="F45" s="23"/>
      <c r="G45" s="23"/>
      <c r="H45" s="16"/>
      <c r="I45" s="23"/>
      <c r="J45" s="50"/>
    </row>
    <row r="46" spans="1:10" ht="115.2" x14ac:dyDescent="0.3">
      <c r="A46" s="36" t="str">
        <f>_xlfn.CONCAT(A45,".", 1)</f>
        <v>5.1</v>
      </c>
      <c r="B46" s="46" t="s">
        <v>39</v>
      </c>
      <c r="C46" s="7" t="s">
        <v>190</v>
      </c>
      <c r="D46" s="54" t="s">
        <v>102</v>
      </c>
      <c r="E46" s="17" t="s">
        <v>31</v>
      </c>
      <c r="F46" s="10" t="s">
        <v>16</v>
      </c>
      <c r="G46" s="24"/>
      <c r="H46" s="56" t="s">
        <v>160</v>
      </c>
      <c r="I46" s="61"/>
      <c r="J46" s="43"/>
    </row>
    <row r="47" spans="1:10" ht="115.2" x14ac:dyDescent="0.3">
      <c r="A47" s="17" t="str">
        <f>_xlfn.CONCAT($A$45,".", RIGHT(A46,1)+1)</f>
        <v>5.2</v>
      </c>
      <c r="B47" s="46" t="s">
        <v>43</v>
      </c>
      <c r="C47" s="7" t="s">
        <v>191</v>
      </c>
      <c r="D47" s="54" t="s">
        <v>103</v>
      </c>
      <c r="E47" s="17" t="s">
        <v>31</v>
      </c>
      <c r="F47" s="10" t="s">
        <v>16</v>
      </c>
      <c r="G47" s="24"/>
      <c r="H47" s="56" t="s">
        <v>160</v>
      </c>
      <c r="I47" s="61"/>
      <c r="J47" s="43"/>
    </row>
    <row r="48" spans="1:10" ht="115.2" x14ac:dyDescent="0.3">
      <c r="A48" s="17" t="str">
        <f t="shared" ref="A48:A54" si="2">_xlfn.CONCAT($A$45,".", RIGHT(A47,1)+1)</f>
        <v>5.3</v>
      </c>
      <c r="B48" s="46" t="s">
        <v>42</v>
      </c>
      <c r="C48" s="7" t="s">
        <v>192</v>
      </c>
      <c r="D48" s="54" t="s">
        <v>104</v>
      </c>
      <c r="E48" s="17" t="s">
        <v>31</v>
      </c>
      <c r="F48" s="11" t="s">
        <v>16</v>
      </c>
      <c r="G48" s="24"/>
      <c r="H48" s="56" t="s">
        <v>160</v>
      </c>
      <c r="I48" s="61"/>
      <c r="J48" s="43"/>
    </row>
    <row r="49" spans="1:10" ht="115.2" x14ac:dyDescent="0.3">
      <c r="A49" s="17" t="str">
        <f t="shared" si="2"/>
        <v>5.4</v>
      </c>
      <c r="B49" s="46" t="s">
        <v>40</v>
      </c>
      <c r="C49" s="7" t="s">
        <v>193</v>
      </c>
      <c r="D49" s="54" t="s">
        <v>105</v>
      </c>
      <c r="E49" s="17" t="s">
        <v>31</v>
      </c>
      <c r="F49" s="10" t="s">
        <v>16</v>
      </c>
      <c r="G49" s="24"/>
      <c r="H49" s="56" t="s">
        <v>160</v>
      </c>
      <c r="I49" s="61"/>
      <c r="J49" s="43"/>
    </row>
    <row r="50" spans="1:10" ht="115.2" x14ac:dyDescent="0.3">
      <c r="A50" s="17" t="str">
        <f t="shared" si="2"/>
        <v>5.5</v>
      </c>
      <c r="B50" s="46" t="s">
        <v>41</v>
      </c>
      <c r="C50" s="7" t="s">
        <v>194</v>
      </c>
      <c r="D50" s="54" t="s">
        <v>106</v>
      </c>
      <c r="E50" s="17" t="s">
        <v>31</v>
      </c>
      <c r="F50" s="11" t="s">
        <v>16</v>
      </c>
      <c r="G50" s="24"/>
      <c r="H50" s="56" t="s">
        <v>160</v>
      </c>
      <c r="I50" s="61"/>
      <c r="J50" s="43"/>
    </row>
    <row r="51" spans="1:10" ht="115.2" x14ac:dyDescent="0.3">
      <c r="A51" s="17" t="str">
        <f t="shared" si="2"/>
        <v>5.6</v>
      </c>
      <c r="B51" s="46" t="s">
        <v>47</v>
      </c>
      <c r="C51" s="7" t="s">
        <v>195</v>
      </c>
      <c r="D51" s="54" t="s">
        <v>107</v>
      </c>
      <c r="E51" s="17" t="s">
        <v>31</v>
      </c>
      <c r="F51" s="11" t="s">
        <v>16</v>
      </c>
      <c r="G51" s="24"/>
      <c r="H51" s="56" t="s">
        <v>160</v>
      </c>
      <c r="I51" s="61"/>
      <c r="J51" s="43"/>
    </row>
    <row r="52" spans="1:10" ht="115.2" x14ac:dyDescent="0.3">
      <c r="A52" s="17" t="str">
        <f t="shared" si="2"/>
        <v>5.7</v>
      </c>
      <c r="B52" s="46" t="s">
        <v>44</v>
      </c>
      <c r="C52" s="7" t="s">
        <v>196</v>
      </c>
      <c r="D52" s="54" t="s">
        <v>108</v>
      </c>
      <c r="E52" s="17" t="s">
        <v>31</v>
      </c>
      <c r="F52" s="11" t="s">
        <v>16</v>
      </c>
      <c r="G52" s="24"/>
      <c r="H52" s="56" t="s">
        <v>160</v>
      </c>
      <c r="I52" s="61"/>
      <c r="J52" s="47"/>
    </row>
    <row r="53" spans="1:10" ht="115.2" x14ac:dyDescent="0.3">
      <c r="A53" s="17" t="str">
        <f t="shared" si="2"/>
        <v>5.8</v>
      </c>
      <c r="B53" s="46" t="s">
        <v>45</v>
      </c>
      <c r="C53" s="7" t="s">
        <v>197</v>
      </c>
      <c r="D53" s="54" t="s">
        <v>126</v>
      </c>
      <c r="E53" s="17" t="s">
        <v>31</v>
      </c>
      <c r="F53" s="11" t="s">
        <v>16</v>
      </c>
      <c r="G53" s="24"/>
      <c r="H53" s="56" t="s">
        <v>160</v>
      </c>
      <c r="I53" s="61"/>
      <c r="J53" s="47"/>
    </row>
    <row r="54" spans="1:10" ht="115.2" x14ac:dyDescent="0.3">
      <c r="A54" s="17" t="str">
        <f t="shared" si="2"/>
        <v>5.9</v>
      </c>
      <c r="B54" s="46" t="s">
        <v>46</v>
      </c>
      <c r="C54" s="7" t="s">
        <v>198</v>
      </c>
      <c r="D54" s="54" t="s">
        <v>109</v>
      </c>
      <c r="E54" s="17" t="s">
        <v>31</v>
      </c>
      <c r="F54" s="11" t="s">
        <v>16</v>
      </c>
      <c r="G54" s="24"/>
      <c r="H54" s="56" t="s">
        <v>160</v>
      </c>
      <c r="I54" s="61"/>
      <c r="J54" s="48"/>
    </row>
    <row r="55" spans="1:10" ht="115.2" x14ac:dyDescent="0.3">
      <c r="A55" s="17" t="str">
        <f>_xlfn.CONCAT($A$45,".", RIGHT(A54,1)+1)</f>
        <v>5.10</v>
      </c>
      <c r="B55" s="46" t="s">
        <v>48</v>
      </c>
      <c r="C55" s="7" t="s">
        <v>199</v>
      </c>
      <c r="D55" s="54" t="s">
        <v>110</v>
      </c>
      <c r="E55" s="17" t="s">
        <v>31</v>
      </c>
      <c r="F55" s="11" t="s">
        <v>16</v>
      </c>
      <c r="G55" s="24"/>
      <c r="H55" s="56" t="s">
        <v>160</v>
      </c>
      <c r="I55" s="61"/>
      <c r="J55" s="48"/>
    </row>
    <row r="56" spans="1:10" ht="115.2" x14ac:dyDescent="0.3">
      <c r="A56" s="17" t="str">
        <f>_xlfn.CONCAT($A$45,".", RIGHT(A55,2)+1)</f>
        <v>5.11</v>
      </c>
      <c r="B56" s="46" t="s">
        <v>49</v>
      </c>
      <c r="C56" s="7" t="s">
        <v>200</v>
      </c>
      <c r="D56" s="54" t="s">
        <v>111</v>
      </c>
      <c r="E56" s="17" t="s">
        <v>31</v>
      </c>
      <c r="F56" s="11" t="s">
        <v>16</v>
      </c>
      <c r="G56" s="24"/>
      <c r="H56" s="56" t="s">
        <v>160</v>
      </c>
      <c r="I56" s="61"/>
      <c r="J56" s="48"/>
    </row>
    <row r="57" spans="1:10" ht="115.2" x14ac:dyDescent="0.3">
      <c r="A57" s="17" t="str">
        <f t="shared" ref="A57:A70" si="3">_xlfn.CONCAT($A$45,".", RIGHT(A56,2)+1)</f>
        <v>5.12</v>
      </c>
      <c r="B57" s="46" t="s">
        <v>50</v>
      </c>
      <c r="C57" s="7" t="s">
        <v>201</v>
      </c>
      <c r="D57" s="54" t="s">
        <v>112</v>
      </c>
      <c r="E57" s="17" t="s">
        <v>31</v>
      </c>
      <c r="F57" s="11" t="s">
        <v>16</v>
      </c>
      <c r="G57" s="24"/>
      <c r="H57" s="56" t="s">
        <v>160</v>
      </c>
      <c r="I57" s="61"/>
      <c r="J57" s="48"/>
    </row>
    <row r="58" spans="1:10" ht="115.2" x14ac:dyDescent="0.3">
      <c r="A58" s="17" t="str">
        <f t="shared" si="3"/>
        <v>5.13</v>
      </c>
      <c r="B58" s="46" t="s">
        <v>51</v>
      </c>
      <c r="C58" s="7" t="s">
        <v>202</v>
      </c>
      <c r="D58" s="54" t="s">
        <v>113</v>
      </c>
      <c r="E58" s="17" t="s">
        <v>31</v>
      </c>
      <c r="F58" s="11" t="s">
        <v>16</v>
      </c>
      <c r="G58" s="24"/>
      <c r="H58" s="56" t="s">
        <v>160</v>
      </c>
      <c r="I58" s="61"/>
      <c r="J58" s="38"/>
    </row>
    <row r="59" spans="1:10" ht="115.2" x14ac:dyDescent="0.3">
      <c r="A59" s="17" t="str">
        <f t="shared" si="3"/>
        <v>5.14</v>
      </c>
      <c r="B59" s="46" t="s">
        <v>52</v>
      </c>
      <c r="C59" s="7" t="s">
        <v>203</v>
      </c>
      <c r="D59" s="54" t="s">
        <v>114</v>
      </c>
      <c r="E59" s="17" t="s">
        <v>31</v>
      </c>
      <c r="F59" s="10" t="s">
        <v>16</v>
      </c>
      <c r="G59" s="24"/>
      <c r="H59" s="56" t="s">
        <v>160</v>
      </c>
      <c r="I59" s="61"/>
      <c r="J59" s="52"/>
    </row>
    <row r="60" spans="1:10" ht="115.2" x14ac:dyDescent="0.3">
      <c r="A60" s="17" t="str">
        <f t="shared" si="3"/>
        <v>5.15</v>
      </c>
      <c r="B60" s="46" t="s">
        <v>53</v>
      </c>
      <c r="C60" s="7" t="s">
        <v>204</v>
      </c>
      <c r="D60" s="54" t="s">
        <v>115</v>
      </c>
      <c r="E60" s="17" t="s">
        <v>31</v>
      </c>
      <c r="F60" s="10" t="s">
        <v>16</v>
      </c>
      <c r="G60" s="24"/>
      <c r="H60" s="56" t="s">
        <v>160</v>
      </c>
      <c r="I60" s="61"/>
      <c r="J60" s="43"/>
    </row>
    <row r="61" spans="1:10" ht="115.2" x14ac:dyDescent="0.3">
      <c r="A61" s="17" t="str">
        <f t="shared" si="3"/>
        <v>5.16</v>
      </c>
      <c r="B61" s="46" t="s">
        <v>54</v>
      </c>
      <c r="C61" s="7" t="s">
        <v>205</v>
      </c>
      <c r="D61" s="54" t="s">
        <v>116</v>
      </c>
      <c r="E61" s="17" t="s">
        <v>31</v>
      </c>
      <c r="F61" s="11" t="s">
        <v>16</v>
      </c>
      <c r="G61" s="24"/>
      <c r="H61" s="56" t="s">
        <v>160</v>
      </c>
      <c r="I61" s="61"/>
      <c r="J61" s="43"/>
    </row>
    <row r="62" spans="1:10" ht="115.2" x14ac:dyDescent="0.3">
      <c r="A62" s="17" t="str">
        <f t="shared" si="3"/>
        <v>5.17</v>
      </c>
      <c r="B62" s="46" t="s">
        <v>55</v>
      </c>
      <c r="C62" s="7" t="s">
        <v>206</v>
      </c>
      <c r="D62" s="54" t="s">
        <v>117</v>
      </c>
      <c r="E62" s="17" t="s">
        <v>31</v>
      </c>
      <c r="F62" s="10" t="s">
        <v>16</v>
      </c>
      <c r="G62" s="24"/>
      <c r="H62" s="56" t="s">
        <v>160</v>
      </c>
      <c r="I62" s="61"/>
      <c r="J62" s="43"/>
    </row>
    <row r="63" spans="1:10" ht="115.2" x14ac:dyDescent="0.3">
      <c r="A63" s="17" t="str">
        <f t="shared" si="3"/>
        <v>5.18</v>
      </c>
      <c r="B63" s="46" t="s">
        <v>56</v>
      </c>
      <c r="C63" s="7" t="s">
        <v>207</v>
      </c>
      <c r="D63" s="54" t="s">
        <v>118</v>
      </c>
      <c r="E63" s="17" t="s">
        <v>31</v>
      </c>
      <c r="F63" s="11" t="s">
        <v>16</v>
      </c>
      <c r="G63" s="24"/>
      <c r="H63" s="56" t="s">
        <v>160</v>
      </c>
      <c r="I63" s="61"/>
      <c r="J63" s="43"/>
    </row>
    <row r="64" spans="1:10" ht="115.2" x14ac:dyDescent="0.3">
      <c r="A64" s="17" t="str">
        <f t="shared" si="3"/>
        <v>5.19</v>
      </c>
      <c r="B64" s="46" t="s">
        <v>57</v>
      </c>
      <c r="C64" s="7" t="s">
        <v>208</v>
      </c>
      <c r="D64" s="54" t="s">
        <v>119</v>
      </c>
      <c r="E64" s="17" t="s">
        <v>31</v>
      </c>
      <c r="F64" s="11" t="s">
        <v>16</v>
      </c>
      <c r="G64" s="24"/>
      <c r="H64" s="56" t="s">
        <v>160</v>
      </c>
      <c r="I64" s="61"/>
      <c r="J64" s="43"/>
    </row>
    <row r="65" spans="1:10" ht="115.2" x14ac:dyDescent="0.3">
      <c r="A65" s="17" t="str">
        <f t="shared" si="3"/>
        <v>5.20</v>
      </c>
      <c r="B65" s="46" t="s">
        <v>58</v>
      </c>
      <c r="C65" s="7" t="s">
        <v>209</v>
      </c>
      <c r="D65" s="54" t="s">
        <v>120</v>
      </c>
      <c r="E65" s="17" t="s">
        <v>31</v>
      </c>
      <c r="F65" s="11" t="s">
        <v>16</v>
      </c>
      <c r="G65" s="24"/>
      <c r="H65" s="56" t="s">
        <v>160</v>
      </c>
      <c r="I65" s="61"/>
      <c r="J65" s="47"/>
    </row>
    <row r="66" spans="1:10" ht="115.2" x14ac:dyDescent="0.3">
      <c r="A66" s="17" t="str">
        <f t="shared" si="3"/>
        <v>5.21</v>
      </c>
      <c r="B66" s="46" t="s">
        <v>59</v>
      </c>
      <c r="C66" s="7" t="s">
        <v>210</v>
      </c>
      <c r="D66" s="54" t="s">
        <v>121</v>
      </c>
      <c r="E66" s="17" t="s">
        <v>31</v>
      </c>
      <c r="F66" s="11" t="s">
        <v>16</v>
      </c>
      <c r="G66" s="24"/>
      <c r="H66" s="56" t="s">
        <v>160</v>
      </c>
      <c r="I66" s="61"/>
      <c r="J66" s="47"/>
    </row>
    <row r="67" spans="1:10" ht="115.2" x14ac:dyDescent="0.3">
      <c r="A67" s="17" t="str">
        <f t="shared" si="3"/>
        <v>5.22</v>
      </c>
      <c r="B67" s="46" t="s">
        <v>60</v>
      </c>
      <c r="C67" s="7" t="s">
        <v>211</v>
      </c>
      <c r="D67" s="54" t="s">
        <v>122</v>
      </c>
      <c r="E67" s="17" t="s">
        <v>31</v>
      </c>
      <c r="F67" s="11" t="s">
        <v>16</v>
      </c>
      <c r="G67" s="24"/>
      <c r="H67" s="56" t="s">
        <v>160</v>
      </c>
      <c r="I67" s="61"/>
      <c r="J67" s="48"/>
    </row>
    <row r="68" spans="1:10" ht="115.2" x14ac:dyDescent="0.3">
      <c r="A68" s="17" t="str">
        <f t="shared" si="3"/>
        <v>5.23</v>
      </c>
      <c r="B68" s="46" t="s">
        <v>61</v>
      </c>
      <c r="C68" s="7" t="s">
        <v>212</v>
      </c>
      <c r="D68" s="54" t="s">
        <v>123</v>
      </c>
      <c r="E68" s="17" t="s">
        <v>31</v>
      </c>
      <c r="F68" s="11" t="s">
        <v>16</v>
      </c>
      <c r="G68" s="24"/>
      <c r="H68" s="56" t="s">
        <v>160</v>
      </c>
      <c r="I68" s="61"/>
      <c r="J68" s="48"/>
    </row>
    <row r="69" spans="1:10" ht="115.2" x14ac:dyDescent="0.3">
      <c r="A69" s="17" t="str">
        <f t="shared" si="3"/>
        <v>5.24</v>
      </c>
      <c r="B69" s="46" t="s">
        <v>62</v>
      </c>
      <c r="C69" s="7" t="s">
        <v>213</v>
      </c>
      <c r="D69" s="54" t="s">
        <v>124</v>
      </c>
      <c r="E69" s="17" t="s">
        <v>31</v>
      </c>
      <c r="F69" s="11" t="s">
        <v>16</v>
      </c>
      <c r="G69" s="24"/>
      <c r="H69" s="56" t="s">
        <v>160</v>
      </c>
      <c r="I69" s="61"/>
      <c r="J69" s="48"/>
    </row>
    <row r="70" spans="1:10" ht="129.6" x14ac:dyDescent="0.3">
      <c r="A70" s="17" t="str">
        <f t="shared" si="3"/>
        <v>5.25</v>
      </c>
      <c r="B70" s="46" t="s">
        <v>63</v>
      </c>
      <c r="C70" s="7" t="s">
        <v>214</v>
      </c>
      <c r="D70" s="54" t="s">
        <v>125</v>
      </c>
      <c r="E70" s="17" t="s">
        <v>32</v>
      </c>
      <c r="F70" s="11" t="s">
        <v>16</v>
      </c>
      <c r="G70" s="24"/>
      <c r="H70" s="56" t="s">
        <v>160</v>
      </c>
      <c r="I70" s="61"/>
      <c r="J70" s="48"/>
    </row>
    <row r="71" spans="1:10" ht="14.25" customHeight="1" x14ac:dyDescent="0.3">
      <c r="A71" s="23">
        <v>6</v>
      </c>
      <c r="B71" s="49" t="s">
        <v>35</v>
      </c>
      <c r="C71" s="50"/>
      <c r="D71" s="50"/>
      <c r="E71" s="23"/>
      <c r="F71" s="23"/>
      <c r="G71" s="23"/>
      <c r="H71" s="16"/>
      <c r="I71" s="23"/>
      <c r="J71" s="50"/>
    </row>
    <row r="72" spans="1:10" ht="129.6" x14ac:dyDescent="0.3">
      <c r="A72" s="36" t="str">
        <f>_xlfn.CONCAT(A71,".", 1)</f>
        <v>6.1</v>
      </c>
      <c r="B72" s="46" t="s">
        <v>39</v>
      </c>
      <c r="C72" s="7" t="s">
        <v>215</v>
      </c>
      <c r="D72" s="54" t="s">
        <v>127</v>
      </c>
      <c r="E72" s="17" t="s">
        <v>31</v>
      </c>
      <c r="F72" s="10" t="s">
        <v>16</v>
      </c>
      <c r="G72" s="24"/>
      <c r="H72" s="56" t="s">
        <v>160</v>
      </c>
      <c r="I72" s="36"/>
      <c r="J72" s="43"/>
    </row>
    <row r="73" spans="1:10" ht="129.6" x14ac:dyDescent="0.3">
      <c r="A73" s="17" t="str">
        <f t="shared" ref="A73:A81" si="4">_xlfn.CONCAT($A$71,".", RIGHT(A72,1)+1)</f>
        <v>6.2</v>
      </c>
      <c r="B73" s="46" t="s">
        <v>43</v>
      </c>
      <c r="C73" s="7" t="s">
        <v>216</v>
      </c>
      <c r="D73" s="54" t="s">
        <v>128</v>
      </c>
      <c r="E73" s="17" t="s">
        <v>31</v>
      </c>
      <c r="F73" s="10" t="s">
        <v>16</v>
      </c>
      <c r="G73" s="24"/>
      <c r="H73" s="56" t="s">
        <v>160</v>
      </c>
      <c r="I73" s="36"/>
      <c r="J73" s="43"/>
    </row>
    <row r="74" spans="1:10" ht="129.6" x14ac:dyDescent="0.3">
      <c r="A74" s="17" t="str">
        <f t="shared" si="4"/>
        <v>6.3</v>
      </c>
      <c r="B74" s="46" t="s">
        <v>42</v>
      </c>
      <c r="C74" s="7" t="s">
        <v>217</v>
      </c>
      <c r="D74" s="54" t="s">
        <v>129</v>
      </c>
      <c r="E74" s="17" t="s">
        <v>31</v>
      </c>
      <c r="F74" s="11" t="s">
        <v>16</v>
      </c>
      <c r="G74" s="24"/>
      <c r="H74" s="56" t="s">
        <v>160</v>
      </c>
      <c r="I74" s="36"/>
      <c r="J74" s="43"/>
    </row>
    <row r="75" spans="1:10" ht="129.6" x14ac:dyDescent="0.3">
      <c r="A75" s="17" t="str">
        <f t="shared" si="4"/>
        <v>6.4</v>
      </c>
      <c r="B75" s="46" t="s">
        <v>40</v>
      </c>
      <c r="C75" s="7" t="s">
        <v>218</v>
      </c>
      <c r="D75" s="54" t="s">
        <v>130</v>
      </c>
      <c r="E75" s="17" t="s">
        <v>31</v>
      </c>
      <c r="F75" s="10" t="s">
        <v>16</v>
      </c>
      <c r="G75" s="24"/>
      <c r="H75" s="56" t="s">
        <v>160</v>
      </c>
      <c r="I75" s="36"/>
      <c r="J75" s="43"/>
    </row>
    <row r="76" spans="1:10" ht="129.6" x14ac:dyDescent="0.3">
      <c r="A76" s="17" t="str">
        <f t="shared" si="4"/>
        <v>6.5</v>
      </c>
      <c r="B76" s="46" t="s">
        <v>41</v>
      </c>
      <c r="C76" s="7" t="s">
        <v>219</v>
      </c>
      <c r="D76" s="54" t="s">
        <v>131</v>
      </c>
      <c r="E76" s="17" t="s">
        <v>31</v>
      </c>
      <c r="F76" s="11" t="s">
        <v>16</v>
      </c>
      <c r="G76" s="24"/>
      <c r="H76" s="56" t="s">
        <v>160</v>
      </c>
      <c r="I76" s="36"/>
      <c r="J76" s="43"/>
    </row>
    <row r="77" spans="1:10" ht="129.6" x14ac:dyDescent="0.3">
      <c r="A77" s="17" t="str">
        <f t="shared" si="4"/>
        <v>6.6</v>
      </c>
      <c r="B77" s="46" t="s">
        <v>47</v>
      </c>
      <c r="C77" s="7" t="s">
        <v>220</v>
      </c>
      <c r="D77" s="54" t="s">
        <v>132</v>
      </c>
      <c r="E77" s="17" t="s">
        <v>31</v>
      </c>
      <c r="F77" s="11" t="s">
        <v>16</v>
      </c>
      <c r="G77" s="24"/>
      <c r="H77" s="56" t="s">
        <v>160</v>
      </c>
      <c r="I77" s="36"/>
      <c r="J77" s="43"/>
    </row>
    <row r="78" spans="1:10" ht="129.6" x14ac:dyDescent="0.3">
      <c r="A78" s="17" t="str">
        <f t="shared" si="4"/>
        <v>6.7</v>
      </c>
      <c r="B78" s="46" t="s">
        <v>44</v>
      </c>
      <c r="C78" s="7" t="s">
        <v>221</v>
      </c>
      <c r="D78" s="54" t="s">
        <v>133</v>
      </c>
      <c r="E78" s="17" t="s">
        <v>31</v>
      </c>
      <c r="F78" s="11" t="s">
        <v>16</v>
      </c>
      <c r="G78" s="24"/>
      <c r="H78" s="56" t="s">
        <v>160</v>
      </c>
      <c r="I78" s="36"/>
      <c r="J78" s="47"/>
    </row>
    <row r="79" spans="1:10" ht="129.6" x14ac:dyDescent="0.3">
      <c r="A79" s="17" t="str">
        <f t="shared" si="4"/>
        <v>6.8</v>
      </c>
      <c r="B79" s="46" t="s">
        <v>45</v>
      </c>
      <c r="C79" s="7" t="s">
        <v>222</v>
      </c>
      <c r="D79" s="54" t="s">
        <v>134</v>
      </c>
      <c r="E79" s="17" t="s">
        <v>31</v>
      </c>
      <c r="F79" s="11" t="s">
        <v>16</v>
      </c>
      <c r="G79" s="24"/>
      <c r="H79" s="56" t="s">
        <v>160</v>
      </c>
      <c r="I79" s="36"/>
      <c r="J79" s="47"/>
    </row>
    <row r="80" spans="1:10" ht="129.6" x14ac:dyDescent="0.3">
      <c r="A80" s="17" t="str">
        <f t="shared" si="4"/>
        <v>6.9</v>
      </c>
      <c r="B80" s="46" t="s">
        <v>46</v>
      </c>
      <c r="C80" s="7" t="s">
        <v>223</v>
      </c>
      <c r="D80" s="54" t="s">
        <v>135</v>
      </c>
      <c r="E80" s="17" t="s">
        <v>31</v>
      </c>
      <c r="F80" s="11" t="s">
        <v>16</v>
      </c>
      <c r="G80" s="24"/>
      <c r="H80" s="56" t="s">
        <v>160</v>
      </c>
      <c r="I80" s="36"/>
      <c r="J80" s="48"/>
    </row>
    <row r="81" spans="1:10" ht="129.6" x14ac:dyDescent="0.3">
      <c r="A81" s="17" t="str">
        <f t="shared" si="4"/>
        <v>6.10</v>
      </c>
      <c r="B81" s="46" t="s">
        <v>48</v>
      </c>
      <c r="C81" s="7" t="s">
        <v>224</v>
      </c>
      <c r="D81" s="54" t="s">
        <v>136</v>
      </c>
      <c r="E81" s="17" t="s">
        <v>31</v>
      </c>
      <c r="F81" s="11" t="s">
        <v>16</v>
      </c>
      <c r="G81" s="24"/>
      <c r="H81" s="56" t="s">
        <v>160</v>
      </c>
      <c r="I81" s="36"/>
      <c r="J81" s="48"/>
    </row>
    <row r="82" spans="1:10" ht="129.6" x14ac:dyDescent="0.3">
      <c r="A82" s="17" t="str">
        <f>_xlfn.CONCAT($A$71,".", RIGHT(A81,2)+1)</f>
        <v>6.11</v>
      </c>
      <c r="B82" s="46" t="s">
        <v>49</v>
      </c>
      <c r="C82" s="7" t="s">
        <v>225</v>
      </c>
      <c r="D82" s="54" t="s">
        <v>137</v>
      </c>
      <c r="E82" s="17" t="s">
        <v>31</v>
      </c>
      <c r="F82" s="11" t="s">
        <v>16</v>
      </c>
      <c r="G82" s="24"/>
      <c r="H82" s="56" t="s">
        <v>160</v>
      </c>
      <c r="I82" s="36"/>
      <c r="J82" s="48"/>
    </row>
    <row r="83" spans="1:10" ht="129.6" x14ac:dyDescent="0.3">
      <c r="A83" s="17" t="str">
        <f>_xlfn.CONCAT($A$71,".", RIGHT(A82,2)+1)</f>
        <v>6.12</v>
      </c>
      <c r="B83" s="46" t="s">
        <v>50</v>
      </c>
      <c r="C83" s="7" t="s">
        <v>226</v>
      </c>
      <c r="D83" s="54" t="s">
        <v>138</v>
      </c>
      <c r="E83" s="17" t="s">
        <v>31</v>
      </c>
      <c r="F83" s="11" t="s">
        <v>16</v>
      </c>
      <c r="G83" s="24"/>
      <c r="H83" s="56" t="s">
        <v>160</v>
      </c>
      <c r="I83" s="36"/>
      <c r="J83" s="48"/>
    </row>
    <row r="84" spans="1:10" s="37" customFormat="1" ht="129.6" x14ac:dyDescent="0.3">
      <c r="A84" s="17" t="str">
        <f t="shared" ref="A84:A96" si="5">_xlfn.CONCAT($A$71,".", RIGHT(A83,2)+1)</f>
        <v>6.13</v>
      </c>
      <c r="B84" s="51" t="s">
        <v>51</v>
      </c>
      <c r="C84" s="7" t="s">
        <v>227</v>
      </c>
      <c r="D84" s="54" t="s">
        <v>139</v>
      </c>
      <c r="E84" s="17" t="s">
        <v>31</v>
      </c>
      <c r="F84" s="11" t="s">
        <v>16</v>
      </c>
      <c r="G84" s="24"/>
      <c r="H84" s="56" t="s">
        <v>160</v>
      </c>
      <c r="I84" s="36"/>
      <c r="J84" s="38"/>
    </row>
    <row r="85" spans="1:10" ht="129.6" x14ac:dyDescent="0.3">
      <c r="A85" s="17" t="str">
        <f t="shared" si="5"/>
        <v>6.14</v>
      </c>
      <c r="B85" s="46" t="s">
        <v>52</v>
      </c>
      <c r="C85" s="7" t="s">
        <v>228</v>
      </c>
      <c r="D85" s="54" t="s">
        <v>140</v>
      </c>
      <c r="E85" s="17" t="s">
        <v>31</v>
      </c>
      <c r="F85" s="10" t="s">
        <v>16</v>
      </c>
      <c r="G85" s="24"/>
      <c r="H85" s="56" t="s">
        <v>160</v>
      </c>
      <c r="I85" s="36"/>
      <c r="J85" s="52"/>
    </row>
    <row r="86" spans="1:10" ht="129.6" x14ac:dyDescent="0.3">
      <c r="A86" s="17" t="str">
        <f t="shared" si="5"/>
        <v>6.15</v>
      </c>
      <c r="B86" s="46" t="s">
        <v>53</v>
      </c>
      <c r="C86" s="7" t="s">
        <v>229</v>
      </c>
      <c r="D86" s="54" t="s">
        <v>141</v>
      </c>
      <c r="E86" s="17" t="s">
        <v>31</v>
      </c>
      <c r="F86" s="10" t="s">
        <v>16</v>
      </c>
      <c r="G86" s="24"/>
      <c r="H86" s="56" t="s">
        <v>160</v>
      </c>
      <c r="I86" s="36"/>
      <c r="J86" s="43"/>
    </row>
    <row r="87" spans="1:10" ht="129.6" x14ac:dyDescent="0.3">
      <c r="A87" s="17" t="str">
        <f t="shared" si="5"/>
        <v>6.16</v>
      </c>
      <c r="B87" s="46" t="s">
        <v>54</v>
      </c>
      <c r="C87" s="7" t="s">
        <v>230</v>
      </c>
      <c r="D87" s="54" t="s">
        <v>142</v>
      </c>
      <c r="E87" s="17" t="s">
        <v>31</v>
      </c>
      <c r="F87" s="11" t="s">
        <v>16</v>
      </c>
      <c r="G87" s="24"/>
      <c r="H87" s="56" t="s">
        <v>160</v>
      </c>
      <c r="I87" s="36"/>
      <c r="J87" s="43"/>
    </row>
    <row r="88" spans="1:10" ht="129.6" x14ac:dyDescent="0.3">
      <c r="A88" s="17" t="str">
        <f t="shared" si="5"/>
        <v>6.17</v>
      </c>
      <c r="B88" s="46" t="s">
        <v>55</v>
      </c>
      <c r="C88" s="7" t="s">
        <v>231</v>
      </c>
      <c r="D88" s="54" t="s">
        <v>143</v>
      </c>
      <c r="E88" s="17" t="s">
        <v>31</v>
      </c>
      <c r="F88" s="10" t="s">
        <v>16</v>
      </c>
      <c r="G88" s="24"/>
      <c r="H88" s="56" t="s">
        <v>160</v>
      </c>
      <c r="I88" s="36"/>
      <c r="J88" s="43"/>
    </row>
    <row r="89" spans="1:10" ht="129.6" x14ac:dyDescent="0.3">
      <c r="A89" s="17" t="str">
        <f t="shared" si="5"/>
        <v>6.18</v>
      </c>
      <c r="B89" s="46" t="s">
        <v>56</v>
      </c>
      <c r="C89" s="7" t="s">
        <v>232</v>
      </c>
      <c r="D89" s="54" t="s">
        <v>144</v>
      </c>
      <c r="E89" s="17" t="s">
        <v>31</v>
      </c>
      <c r="F89" s="11" t="s">
        <v>16</v>
      </c>
      <c r="G89" s="24"/>
      <c r="H89" s="56" t="s">
        <v>160</v>
      </c>
      <c r="I89" s="36"/>
      <c r="J89" s="43"/>
    </row>
    <row r="90" spans="1:10" ht="129.6" x14ac:dyDescent="0.3">
      <c r="A90" s="17" t="str">
        <f t="shared" si="5"/>
        <v>6.19</v>
      </c>
      <c r="B90" s="46" t="s">
        <v>57</v>
      </c>
      <c r="C90" s="7" t="s">
        <v>233</v>
      </c>
      <c r="D90" s="54" t="s">
        <v>145</v>
      </c>
      <c r="E90" s="17" t="s">
        <v>31</v>
      </c>
      <c r="F90" s="11" t="s">
        <v>16</v>
      </c>
      <c r="G90" s="24"/>
      <c r="H90" s="56" t="s">
        <v>160</v>
      </c>
      <c r="I90" s="36"/>
      <c r="J90" s="43"/>
    </row>
    <row r="91" spans="1:10" ht="129.6" x14ac:dyDescent="0.3">
      <c r="A91" s="17" t="str">
        <f t="shared" si="5"/>
        <v>6.20</v>
      </c>
      <c r="B91" s="46" t="s">
        <v>58</v>
      </c>
      <c r="C91" s="7" t="s">
        <v>234</v>
      </c>
      <c r="D91" s="54" t="s">
        <v>146</v>
      </c>
      <c r="E91" s="17" t="s">
        <v>31</v>
      </c>
      <c r="F91" s="11" t="s">
        <v>16</v>
      </c>
      <c r="G91" s="24"/>
      <c r="H91" s="56" t="s">
        <v>160</v>
      </c>
      <c r="I91" s="36"/>
      <c r="J91" s="47"/>
    </row>
    <row r="92" spans="1:10" ht="129.6" x14ac:dyDescent="0.3">
      <c r="A92" s="17" t="str">
        <f t="shared" si="5"/>
        <v>6.21</v>
      </c>
      <c r="B92" s="46" t="s">
        <v>59</v>
      </c>
      <c r="C92" s="7" t="s">
        <v>235</v>
      </c>
      <c r="D92" s="54" t="s">
        <v>147</v>
      </c>
      <c r="E92" s="17" t="s">
        <v>31</v>
      </c>
      <c r="F92" s="11" t="s">
        <v>16</v>
      </c>
      <c r="G92" s="24"/>
      <c r="H92" s="56" t="s">
        <v>160</v>
      </c>
      <c r="I92" s="36"/>
      <c r="J92" s="47"/>
    </row>
    <row r="93" spans="1:10" ht="129.6" x14ac:dyDescent="0.3">
      <c r="A93" s="17" t="str">
        <f t="shared" si="5"/>
        <v>6.22</v>
      </c>
      <c r="B93" s="46" t="s">
        <v>60</v>
      </c>
      <c r="C93" s="7" t="s">
        <v>236</v>
      </c>
      <c r="D93" s="54" t="s">
        <v>148</v>
      </c>
      <c r="E93" s="17" t="s">
        <v>31</v>
      </c>
      <c r="F93" s="11" t="s">
        <v>16</v>
      </c>
      <c r="G93" s="24"/>
      <c r="H93" s="56" t="s">
        <v>160</v>
      </c>
      <c r="I93" s="36"/>
      <c r="J93" s="48"/>
    </row>
    <row r="94" spans="1:10" ht="129.6" x14ac:dyDescent="0.3">
      <c r="A94" s="17" t="str">
        <f t="shared" si="5"/>
        <v>6.23</v>
      </c>
      <c r="B94" s="46" t="s">
        <v>61</v>
      </c>
      <c r="C94" s="7" t="s">
        <v>237</v>
      </c>
      <c r="D94" s="54" t="s">
        <v>149</v>
      </c>
      <c r="E94" s="17" t="s">
        <v>31</v>
      </c>
      <c r="F94" s="11" t="s">
        <v>16</v>
      </c>
      <c r="G94" s="24"/>
      <c r="H94" s="56" t="s">
        <v>160</v>
      </c>
      <c r="I94" s="36"/>
      <c r="J94" s="48"/>
    </row>
    <row r="95" spans="1:10" ht="129.6" x14ac:dyDescent="0.3">
      <c r="A95" s="17" t="str">
        <f t="shared" si="5"/>
        <v>6.24</v>
      </c>
      <c r="B95" s="46" t="s">
        <v>62</v>
      </c>
      <c r="C95" s="7" t="s">
        <v>238</v>
      </c>
      <c r="D95" s="54" t="s">
        <v>150</v>
      </c>
      <c r="E95" s="17" t="s">
        <v>31</v>
      </c>
      <c r="F95" s="11" t="s">
        <v>16</v>
      </c>
      <c r="G95" s="24"/>
      <c r="H95" s="56" t="s">
        <v>160</v>
      </c>
      <c r="I95" s="36"/>
      <c r="J95" s="48"/>
    </row>
    <row r="96" spans="1:10" ht="144" x14ac:dyDescent="0.3">
      <c r="A96" s="17" t="str">
        <f t="shared" si="5"/>
        <v>6.25</v>
      </c>
      <c r="B96" s="46" t="s">
        <v>63</v>
      </c>
      <c r="C96" s="7" t="s">
        <v>239</v>
      </c>
      <c r="D96" s="54" t="s">
        <v>151</v>
      </c>
      <c r="E96" s="17" t="s">
        <v>32</v>
      </c>
      <c r="F96" s="11" t="s">
        <v>16</v>
      </c>
      <c r="G96" s="24"/>
      <c r="H96" s="56" t="s">
        <v>160</v>
      </c>
      <c r="I96" s="36"/>
      <c r="J96" s="48"/>
    </row>
    <row r="97" spans="1:10" ht="14.25" customHeight="1" x14ac:dyDescent="0.3">
      <c r="A97" s="20">
        <v>6</v>
      </c>
      <c r="B97" s="44" t="s">
        <v>19</v>
      </c>
      <c r="C97" s="53"/>
      <c r="D97" s="53"/>
      <c r="E97" s="20"/>
      <c r="F97" s="20"/>
      <c r="G97" s="20"/>
      <c r="H97" s="20"/>
      <c r="I97" s="20"/>
      <c r="J97" s="53"/>
    </row>
    <row r="98" spans="1:10" ht="158.4" x14ac:dyDescent="0.3">
      <c r="A98" s="25" t="str">
        <f>$A$97 &amp; "." &amp; IF(LEFT(B97,9)="Interrupt",1,A97+1)</f>
        <v>6.1</v>
      </c>
      <c r="B98" s="7" t="s">
        <v>26</v>
      </c>
      <c r="C98" s="7" t="s">
        <v>241</v>
      </c>
      <c r="D98" s="55" t="s">
        <v>152</v>
      </c>
      <c r="E98" s="25" t="s">
        <v>31</v>
      </c>
      <c r="F98" s="11" t="s">
        <v>16</v>
      </c>
      <c r="G98" s="24"/>
      <c r="H98" s="56" t="s">
        <v>160</v>
      </c>
      <c r="I98" s="62"/>
      <c r="J98" s="48"/>
    </row>
    <row r="99" spans="1:10" ht="144" x14ac:dyDescent="0.3">
      <c r="A99" s="25" t="str">
        <f>$A$97&amp;"."&amp;IF(LEFT(B98,9)="Interrupt",1,VALUE(RIGHT(A98,1)+1))</f>
        <v>6.2</v>
      </c>
      <c r="B99" s="7" t="s">
        <v>27</v>
      </c>
      <c r="C99" s="7" t="s">
        <v>243</v>
      </c>
      <c r="D99" s="55" t="s">
        <v>153</v>
      </c>
      <c r="E99" s="25" t="s">
        <v>31</v>
      </c>
      <c r="F99" s="11" t="s">
        <v>16</v>
      </c>
      <c r="G99" s="24"/>
      <c r="H99" s="56" t="s">
        <v>160</v>
      </c>
      <c r="I99" s="62"/>
      <c r="J99" s="48"/>
    </row>
    <row r="100" spans="1:10" ht="172.8" x14ac:dyDescent="0.3">
      <c r="A100" s="25" t="str">
        <f>$A$97&amp;"."&amp;IF(LEFT(B99,9)="Interrupt",1,VALUE(RIGHT(A99,1)+1))</f>
        <v>6.3</v>
      </c>
      <c r="B100" s="7" t="s">
        <v>28</v>
      </c>
      <c r="C100" s="7" t="s">
        <v>242</v>
      </c>
      <c r="D100" s="55" t="s">
        <v>154</v>
      </c>
      <c r="E100" s="25" t="s">
        <v>31</v>
      </c>
      <c r="F100" s="11" t="s">
        <v>16</v>
      </c>
      <c r="G100" s="24"/>
      <c r="H100" s="56" t="s">
        <v>160</v>
      </c>
      <c r="I100" s="62"/>
      <c r="J100" s="48"/>
    </row>
    <row r="101" spans="1:10" ht="144" x14ac:dyDescent="0.3">
      <c r="A101" s="25" t="str">
        <f>$A$97&amp;"."&amp;IF(LEFT(B100,9)="Interrupt",1,VALUE(RIGHT(A100,1)+1))</f>
        <v>6.4</v>
      </c>
      <c r="B101" s="7" t="s">
        <v>29</v>
      </c>
      <c r="C101" s="7" t="s">
        <v>244</v>
      </c>
      <c r="D101" s="55" t="s">
        <v>155</v>
      </c>
      <c r="E101" s="25" t="s">
        <v>31</v>
      </c>
      <c r="F101" s="11" t="s">
        <v>16</v>
      </c>
      <c r="G101" s="24"/>
      <c r="H101" s="56" t="s">
        <v>160</v>
      </c>
      <c r="I101" s="62"/>
      <c r="J101" s="48"/>
    </row>
    <row r="102" spans="1:10" ht="144" x14ac:dyDescent="0.3">
      <c r="A102" s="25" t="str">
        <f>$A$97&amp;"."&amp;IF(LEFT(B101,9)="Interrupt",1,VALUE(RIGHT(A101,1)+1))</f>
        <v>6.5</v>
      </c>
      <c r="B102" s="7" t="s">
        <v>30</v>
      </c>
      <c r="C102" s="7" t="s">
        <v>245</v>
      </c>
      <c r="D102" s="55" t="s">
        <v>156</v>
      </c>
      <c r="E102" s="25" t="s">
        <v>31</v>
      </c>
      <c r="F102" s="11" t="s">
        <v>16</v>
      </c>
      <c r="G102" s="27"/>
      <c r="H102" s="56" t="s">
        <v>160</v>
      </c>
      <c r="I102" s="62"/>
      <c r="J102" s="48"/>
    </row>
    <row r="103" spans="1:10" ht="14.25" customHeight="1" x14ac:dyDescent="0.3">
      <c r="A103" s="20">
        <v>7</v>
      </c>
      <c r="B103" s="44" t="s">
        <v>37</v>
      </c>
      <c r="C103" s="53"/>
      <c r="D103" s="53"/>
      <c r="E103" s="20"/>
      <c r="F103" s="20"/>
      <c r="G103" s="20"/>
      <c r="H103" s="20"/>
      <c r="I103" s="20"/>
      <c r="J103" s="53"/>
    </row>
    <row r="104" spans="1:10" ht="129.6" x14ac:dyDescent="0.3">
      <c r="A104" s="25" t="str">
        <f>$A$103 &amp; "." &amp; IF(LEFT(B103,5)="Error",1,A103+1)</f>
        <v>7.8</v>
      </c>
      <c r="B104" s="7" t="s">
        <v>36</v>
      </c>
      <c r="C104" s="7" t="s">
        <v>240</v>
      </c>
      <c r="D104" s="55" t="s">
        <v>157</v>
      </c>
      <c r="E104" s="39" t="s">
        <v>64</v>
      </c>
      <c r="F104" s="11" t="s">
        <v>16</v>
      </c>
      <c r="G104" s="28"/>
      <c r="H104" s="56" t="s">
        <v>160</v>
      </c>
      <c r="I104" s="62"/>
      <c r="J104" s="48"/>
    </row>
    <row r="105" spans="1:10" ht="172.8" x14ac:dyDescent="0.3">
      <c r="A105" s="25" t="str">
        <f>$A$103&amp;"."&amp;IF(LEFT(B104,5)="Error",1,VALUE(RIGHT(A104,1)+1))</f>
        <v>7.9</v>
      </c>
      <c r="B105" s="7" t="s">
        <v>158</v>
      </c>
      <c r="C105" s="7" t="s">
        <v>246</v>
      </c>
      <c r="D105" s="55" t="s">
        <v>159</v>
      </c>
      <c r="E105" s="39" t="s">
        <v>64</v>
      </c>
      <c r="F105" s="11" t="s">
        <v>16</v>
      </c>
      <c r="G105" s="29"/>
      <c r="H105" s="56" t="s">
        <v>160</v>
      </c>
      <c r="I105" s="62"/>
      <c r="J105" s="48"/>
    </row>
    <row r="106" spans="1:10" ht="14.25" customHeight="1" x14ac:dyDescent="0.3"/>
    <row r="107" spans="1:10" ht="14.25" customHeight="1" x14ac:dyDescent="0.3"/>
    <row r="108" spans="1:10" ht="14.25" customHeight="1" x14ac:dyDescent="0.3"/>
    <row r="109" spans="1:10" ht="14.25" customHeight="1" x14ac:dyDescent="0.3"/>
    <row r="110" spans="1:10" ht="14.25" customHeight="1" x14ac:dyDescent="0.3"/>
    <row r="111" spans="1:10" ht="14.25" customHeight="1" x14ac:dyDescent="0.3"/>
    <row r="112" spans="1:10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</sheetData>
  <phoneticPr fontId="11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HuyNguyen</dc:creator>
  <cp:lastModifiedBy>Nhân Đoàn</cp:lastModifiedBy>
  <dcterms:created xsi:type="dcterms:W3CDTF">2015-06-05T18:17:20Z</dcterms:created>
  <dcterms:modified xsi:type="dcterms:W3CDTF">2026-04-27T04:57:53Z</dcterms:modified>
</cp:coreProperties>
</file>